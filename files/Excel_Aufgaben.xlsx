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ander/Downloads/"/>
    </mc:Choice>
  </mc:AlternateContent>
  <xr:revisionPtr revIDLastSave="0" documentId="13_ncr:1_{5C933E40-C90F-4A7C-8E37-3F6C2E532E9E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ortcuts" sheetId="1" r:id="rId1"/>
    <sheet name="Basisfunktionen" sheetId="2" r:id="rId2"/>
    <sheet name="Formatting &amp; LOOKUP" sheetId="3" r:id="rId3"/>
    <sheet name="Text to Columns" sheetId="4" r:id="rId4"/>
    <sheet name="Zielwertsuche" sheetId="12" r:id="rId5"/>
    <sheet name="Suchen &amp; Ersetzen" sheetId="13" r:id="rId6"/>
    <sheet name="TP" sheetId="7" r:id="rId7"/>
    <sheet name="Tabelle" sheetId="6" r:id="rId8"/>
    <sheet name="Pivot &amp; PivotCharts" sheetId="11" r:id="rId9"/>
    <sheet name="List" sheetId="5" r:id="rId10"/>
    <sheet name="Datum &amp; SEQUENCE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12" l="1"/>
  <c r="P25" i="11"/>
  <c r="H52" i="11"/>
  <c r="J51" i="11"/>
  <c r="I51" i="11"/>
  <c r="K51" i="11" s="1"/>
  <c r="J50" i="11"/>
  <c r="I50" i="11"/>
  <c r="K50" i="11" s="1"/>
  <c r="J49" i="11"/>
  <c r="I49" i="11"/>
  <c r="J48" i="11"/>
  <c r="I48" i="11"/>
  <c r="J47" i="11"/>
  <c r="I47" i="11"/>
  <c r="J46" i="11"/>
  <c r="I46" i="11"/>
  <c r="K46" i="11" s="1"/>
  <c r="J45" i="11"/>
  <c r="I45" i="11"/>
  <c r="J44" i="11"/>
  <c r="I44" i="11"/>
  <c r="J43" i="11"/>
  <c r="I43" i="11"/>
  <c r="J42" i="11"/>
  <c r="I42" i="11"/>
  <c r="K42" i="11" s="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K34" i="11" s="1"/>
  <c r="J33" i="11"/>
  <c r="I33" i="11"/>
  <c r="J32" i="11"/>
  <c r="I32" i="11"/>
  <c r="J31" i="11"/>
  <c r="I31" i="11"/>
  <c r="J30" i="11"/>
  <c r="I30" i="11"/>
  <c r="K30" i="11" s="1"/>
  <c r="J29" i="11"/>
  <c r="I29" i="11"/>
  <c r="J28" i="11"/>
  <c r="I28" i="11"/>
  <c r="J27" i="11"/>
  <c r="I27" i="11"/>
  <c r="J26" i="11"/>
  <c r="I26" i="11"/>
  <c r="K26" i="11" s="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K18" i="11" s="1"/>
  <c r="J17" i="11"/>
  <c r="I17" i="11"/>
  <c r="J16" i="11"/>
  <c r="I16" i="11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K29" i="11" l="1"/>
  <c r="K45" i="11"/>
  <c r="K33" i="11"/>
  <c r="K19" i="11"/>
  <c r="K21" i="11"/>
  <c r="K23" i="11"/>
  <c r="K25" i="11"/>
  <c r="K27" i="11"/>
  <c r="K24" i="11"/>
  <c r="K49" i="11"/>
  <c r="K40" i="11"/>
  <c r="K17" i="11"/>
  <c r="K35" i="11"/>
  <c r="K37" i="11"/>
  <c r="K39" i="11"/>
  <c r="K41" i="11"/>
  <c r="K43" i="11"/>
  <c r="I52" i="11"/>
  <c r="K28" i="11"/>
  <c r="K44" i="11"/>
  <c r="J52" i="11"/>
  <c r="K32" i="11"/>
  <c r="K48" i="11"/>
  <c r="K20" i="11"/>
  <c r="K22" i="11"/>
  <c r="K31" i="11"/>
  <c r="K36" i="11"/>
  <c r="K38" i="11"/>
  <c r="K47" i="11"/>
  <c r="K16" i="11"/>
  <c r="K52" i="11" l="1"/>
</calcChain>
</file>

<file path=xl/sharedStrings.xml><?xml version="1.0" encoding="utf-8"?>
<sst xmlns="http://schemas.openxmlformats.org/spreadsheetml/2006/main" count="1054" uniqueCount="508">
  <si>
    <t>Shortcuts</t>
  </si>
  <si>
    <t>Erklärung</t>
  </si>
  <si>
    <t>Str 1</t>
  </si>
  <si>
    <t>Zellen Formatieren</t>
  </si>
  <si>
    <t>Str X</t>
  </si>
  <si>
    <t>Ausschneiden</t>
  </si>
  <si>
    <t>Str C</t>
  </si>
  <si>
    <t>Kopieren</t>
  </si>
  <si>
    <t>Str V</t>
  </si>
  <si>
    <t>Einfügen</t>
  </si>
  <si>
    <t>Str B</t>
  </si>
  <si>
    <t>Fett gedruckt</t>
  </si>
  <si>
    <t>Str A</t>
  </si>
  <si>
    <t>Alles auswählen</t>
  </si>
  <si>
    <t>Str bild up/down</t>
  </si>
  <si>
    <t>Tabs wechseln</t>
  </si>
  <si>
    <t>Format löschen</t>
  </si>
  <si>
    <t>Zelleninhalt löschen</t>
  </si>
  <si>
    <t>Remove Gridlines</t>
  </si>
  <si>
    <t>Zellenrahmen festlegen</t>
  </si>
  <si>
    <t>Zellfarbe festlegen</t>
  </si>
  <si>
    <t>Schriftfarbe festlegen</t>
  </si>
  <si>
    <t>Zelleninhalt zentrieren</t>
  </si>
  <si>
    <t>Zelleninhalt linkssetzen</t>
  </si>
  <si>
    <t>Zelleninhalt rechtssetzen</t>
  </si>
  <si>
    <t>Schriftgröße festlegen</t>
  </si>
  <si>
    <t>Schriftart festlegen</t>
  </si>
  <si>
    <t>Zellen mergen</t>
  </si>
  <si>
    <t>Zellbreite automatisch anpassen</t>
  </si>
  <si>
    <t>Zellhöhe autpomatisch anpassen</t>
  </si>
  <si>
    <t>str T</t>
  </si>
  <si>
    <t>Tabelle generieren</t>
  </si>
  <si>
    <t>Daten als Values sichern</t>
  </si>
  <si>
    <t>Aufgaben:</t>
  </si>
  <si>
    <t>Ergänze die unten fehlenden Angaben</t>
  </si>
  <si>
    <t>Runde auf 1 Nachkommastelle</t>
  </si>
  <si>
    <t>Ergebnis</t>
  </si>
  <si>
    <t>Bestellung</t>
  </si>
  <si>
    <t>Menge</t>
  </si>
  <si>
    <t>Preis pro Stück</t>
  </si>
  <si>
    <t>Umsatz</t>
  </si>
  <si>
    <t>Anzahl verkaufter Artikel</t>
  </si>
  <si>
    <t>Gesamtumsatz</t>
  </si>
  <si>
    <t>Durchschnittliche Artikelmenge</t>
  </si>
  <si>
    <t>Durchschnittlicher Artikelpreis</t>
  </si>
  <si>
    <t>Anzahl der Bestellungen mit mehr als 2 Artikeln</t>
  </si>
  <si>
    <t>Median Anzahl Artikel</t>
  </si>
  <si>
    <t>Bestellung mit dem größten Umsatz</t>
  </si>
  <si>
    <t>1. Markiere das höchste Einkommen grün</t>
  </si>
  <si>
    <t>3. Bringe die Zahlen in das folgende Format, Bsp: 32.500€</t>
  </si>
  <si>
    <t>4. Finde mit einer Formel das Einkommen von Emma Becker und von Felix Neumann</t>
  </si>
  <si>
    <t>5. Ordne den Datensatz wie abgebildet</t>
  </si>
  <si>
    <t>Lösung:</t>
  </si>
  <si>
    <t>Name:</t>
  </si>
  <si>
    <t>Einkommen:</t>
  </si>
  <si>
    <t>Anna Müller</t>
  </si>
  <si>
    <t>Lukas Schneider</t>
  </si>
  <si>
    <t>Leon Fischer</t>
  </si>
  <si>
    <t>Sophie Weber</t>
  </si>
  <si>
    <t>Paul Wagner</t>
  </si>
  <si>
    <t>Emma Becker</t>
  </si>
  <si>
    <t>Noah Hoffmann</t>
  </si>
  <si>
    <t>Mia Schäfer</t>
  </si>
  <si>
    <t>Ben Koch</t>
  </si>
  <si>
    <t>Lina Bauer</t>
  </si>
  <si>
    <t>Jonas Richter</t>
  </si>
  <si>
    <t>Marie Klein</t>
  </si>
  <si>
    <t>Tim Wolf</t>
  </si>
  <si>
    <t>Laura Schröder</t>
  </si>
  <si>
    <t>Felix Neumann</t>
  </si>
  <si>
    <t>Hannah Schwarz</t>
  </si>
  <si>
    <t>David Zimmermann</t>
  </si>
  <si>
    <t>Lea Braun</t>
  </si>
  <si>
    <t>Nico Krüger</t>
  </si>
  <si>
    <t>Clara Hartmann</t>
  </si>
  <si>
    <t>Gehalt:</t>
  </si>
  <si>
    <t>1. Bringe den Datensatz mit Text to Columns wie abgebildet auseinander</t>
  </si>
  <si>
    <t>2. Ordne den Datensatz</t>
  </si>
  <si>
    <t>Vorname Nachname,Stadt#Alter#Einkommen</t>
  </si>
  <si>
    <t>Vorname</t>
  </si>
  <si>
    <t>Nachname</t>
  </si>
  <si>
    <t>Stadt</t>
  </si>
  <si>
    <t>Alter</t>
  </si>
  <si>
    <t>Einkommen</t>
  </si>
  <si>
    <t>Anna Müller,Berlin#29#42000</t>
  </si>
  <si>
    <t>Anna</t>
  </si>
  <si>
    <t>Müller</t>
  </si>
  <si>
    <t>Berlin</t>
  </si>
  <si>
    <t>Lukas Schneider,Hamburg#34#51000</t>
  </si>
  <si>
    <t>Lukas</t>
  </si>
  <si>
    <t>Schneider</t>
  </si>
  <si>
    <t>Hamburg</t>
  </si>
  <si>
    <t>Sophie Weber,München#27#39000</t>
  </si>
  <si>
    <t>Sophie</t>
  </si>
  <si>
    <t>Weber</t>
  </si>
  <si>
    <t>München</t>
  </si>
  <si>
    <t>Leon Fischer,Bremen#31#46000</t>
  </si>
  <si>
    <t>Leon</t>
  </si>
  <si>
    <t>Fischer</t>
  </si>
  <si>
    <t>Bremen</t>
  </si>
  <si>
    <t>Emma Becker,Köln#25#37000</t>
  </si>
  <si>
    <t>Emma</t>
  </si>
  <si>
    <t>Becker</t>
  </si>
  <si>
    <t>Köln</t>
  </si>
  <si>
    <t>Noah Hoffmann,Frankfurt#40#62000</t>
  </si>
  <si>
    <t>Noah</t>
  </si>
  <si>
    <t>Hoffmann</t>
  </si>
  <si>
    <t>Frankfurt</t>
  </si>
  <si>
    <t>Mia Schäfer,Bonn#22#31000</t>
  </si>
  <si>
    <t>Mia</t>
  </si>
  <si>
    <t>Schäfer</t>
  </si>
  <si>
    <t>Bonn</t>
  </si>
  <si>
    <t>Ben Koch,Stuttgart#36#54000</t>
  </si>
  <si>
    <t>Ben</t>
  </si>
  <si>
    <t>Koch</t>
  </si>
  <si>
    <t>Stuttgart</t>
  </si>
  <si>
    <t>Lina Bauer,Dresden#28#41000</t>
  </si>
  <si>
    <t>Lina</t>
  </si>
  <si>
    <t>Bauer</t>
  </si>
  <si>
    <t>Dresden</t>
  </si>
  <si>
    <t>Jonas Richter,Berlin#33#48000</t>
  </si>
  <si>
    <t>Jonas</t>
  </si>
  <si>
    <t>Richter</t>
  </si>
  <si>
    <t>Marie Klein,Hamburg#24#35000</t>
  </si>
  <si>
    <t>Marie</t>
  </si>
  <si>
    <t>Klein</t>
  </si>
  <si>
    <t>Tim Wolf,München#41#65000</t>
  </si>
  <si>
    <t>Tim</t>
  </si>
  <si>
    <t>Wolf</t>
  </si>
  <si>
    <t>Laura Schröder,Bremen#30#44000</t>
  </si>
  <si>
    <t>Laura</t>
  </si>
  <si>
    <t>Schröder</t>
  </si>
  <si>
    <t>Felix Neumann,Köln#38#59000</t>
  </si>
  <si>
    <t>Felix</t>
  </si>
  <si>
    <t>Neumann</t>
  </si>
  <si>
    <t>Hannah Schwarz,Frankfurt#26#39000</t>
  </si>
  <si>
    <t>Hannah</t>
  </si>
  <si>
    <t>Schwarz</t>
  </si>
  <si>
    <t>David Zimmermann,Bonn#35#52000</t>
  </si>
  <si>
    <t>David</t>
  </si>
  <si>
    <t>Zimmermann</t>
  </si>
  <si>
    <t>Lea Braun,Stuttgart#23#33000</t>
  </si>
  <si>
    <t>Lea</t>
  </si>
  <si>
    <t>Braun</t>
  </si>
  <si>
    <t>Nico Krüger,Dresden#37#56000</t>
  </si>
  <si>
    <t>Nico</t>
  </si>
  <si>
    <t>Krüger</t>
  </si>
  <si>
    <t>Clara Hartmann,Berlin#28#42000</t>
  </si>
  <si>
    <t>Clara</t>
  </si>
  <si>
    <t>Hartmann</t>
  </si>
  <si>
    <t>Paul Wagner,Hamburg#45#70000</t>
  </si>
  <si>
    <t>Paul</t>
  </si>
  <si>
    <t>Wagner</t>
  </si>
  <si>
    <t>Felix Braun,München#32#47000</t>
  </si>
  <si>
    <t>Sven Keller,Bremen#39#61000</t>
  </si>
  <si>
    <t>Sven</t>
  </si>
  <si>
    <t>Keller</t>
  </si>
  <si>
    <t>Nina Vogel,Köln#27#40000</t>
  </si>
  <si>
    <t>Nina</t>
  </si>
  <si>
    <t>Vogel</t>
  </si>
  <si>
    <t>Tom Hartmann,Frankfurt#36#55000</t>
  </si>
  <si>
    <t>Tom</t>
  </si>
  <si>
    <t>Lisa Schulz,Bonn#31#46000</t>
  </si>
  <si>
    <t>Lisa</t>
  </si>
  <si>
    <t>Schulz</t>
  </si>
  <si>
    <t>Jan Krause,Stuttgart#42#68000</t>
  </si>
  <si>
    <t>Jan</t>
  </si>
  <si>
    <t>Krause</t>
  </si>
  <si>
    <t>Julia Fuchs,Dresden#26#38000</t>
  </si>
  <si>
    <t>Julia</t>
  </si>
  <si>
    <t>Fuchs</t>
  </si>
  <si>
    <t>Marc Winter,Berlin#35#53000</t>
  </si>
  <si>
    <t>Marc</t>
  </si>
  <si>
    <t>Winter</t>
  </si>
  <si>
    <t>Laura Brandt,Hamburg#29#44000</t>
  </si>
  <si>
    <t>Brandt</t>
  </si>
  <si>
    <t>Daniel Sommer,München#41#64000</t>
  </si>
  <si>
    <t>Daniel</t>
  </si>
  <si>
    <t>Sommer</t>
  </si>
  <si>
    <t>Anna Peters,Bremen#24#35000</t>
  </si>
  <si>
    <t>Peters</t>
  </si>
  <si>
    <t>Simon Lorenz,Köln#38#60000</t>
  </si>
  <si>
    <t>Simon</t>
  </si>
  <si>
    <t>Lorenz</t>
  </si>
  <si>
    <t>Mara Lang,Frankfurt#27#41000</t>
  </si>
  <si>
    <t>Mara</t>
  </si>
  <si>
    <t>Lang</t>
  </si>
  <si>
    <t>Tobias Berg,Bonn#33#49000</t>
  </si>
  <si>
    <t>Tobias</t>
  </si>
  <si>
    <t>Berg</t>
  </si>
  <si>
    <t>Julia König,Stuttgart#30#45000</t>
  </si>
  <si>
    <t>König</t>
  </si>
  <si>
    <t>Felix Albrecht,Dresden#37#57000</t>
  </si>
  <si>
    <t>Albrecht</t>
  </si>
  <si>
    <t>Laura Dietrich,Berlin#28#43000</t>
  </si>
  <si>
    <t>Dietrich</t>
  </si>
  <si>
    <t>Paul Neumann,Hamburg#46#71000</t>
  </si>
  <si>
    <t>Nina Engel,München#25#36000</t>
  </si>
  <si>
    <t>Engel</t>
  </si>
  <si>
    <t>Lars Schubert,Bremen#40#62000</t>
  </si>
  <si>
    <t>Lars</t>
  </si>
  <si>
    <t>Schubert</t>
  </si>
  <si>
    <t>Anna Roth,Köln#31#47000</t>
  </si>
  <si>
    <t>Roth</t>
  </si>
  <si>
    <t>Tim Scholz,Frankfurt#34#52000</t>
  </si>
  <si>
    <t>Scholz</t>
  </si>
  <si>
    <t>Sarah Busch,Bonn#29#42000</t>
  </si>
  <si>
    <t>Sarah</t>
  </si>
  <si>
    <t>Busch</t>
  </si>
  <si>
    <t>Max Frank,Stuttgart#36#56000</t>
  </si>
  <si>
    <t>Max</t>
  </si>
  <si>
    <t>Frank</t>
  </si>
  <si>
    <t>Lisa Seidel,Dresden#23#34000</t>
  </si>
  <si>
    <t>Seidel</t>
  </si>
  <si>
    <t>Jonas Thiel,Berlin#39#61000</t>
  </si>
  <si>
    <t>Thiel</t>
  </si>
  <si>
    <t>Julia Meier,Hamburg#32#48000</t>
  </si>
  <si>
    <t>Meier</t>
  </si>
  <si>
    <t>David Jahn,München#41#65000</t>
  </si>
  <si>
    <t>Jahn</t>
  </si>
  <si>
    <t>Lena Sauer,Bremen#27#40000</t>
  </si>
  <si>
    <t>Lena</t>
  </si>
  <si>
    <t>Sauer</t>
  </si>
  <si>
    <t>Marc Vogt,Köln#35#54000</t>
  </si>
  <si>
    <t>Vogt</t>
  </si>
  <si>
    <t>Mitarbeiter XY</t>
  </si>
  <si>
    <t>Lohn von Mitarbeiter XY</t>
  </si>
  <si>
    <t>2. Suche anhand der Liste den Lohn eines einzelnen Mitarbeiters</t>
  </si>
  <si>
    <t>Mitarbeiter</t>
  </si>
  <si>
    <t>Stunden</t>
  </si>
  <si>
    <t>Stundenlohn</t>
  </si>
  <si>
    <t>Lohn</t>
  </si>
  <si>
    <t>1. Ordne den Datensatz</t>
  </si>
  <si>
    <t>3. Lass die Tabelle nur Städte mit weniger als 100.000 Einwohner anzeigen</t>
  </si>
  <si>
    <t>Population</t>
  </si>
  <si>
    <t>Würzburg</t>
  </si>
  <si>
    <t>Aalen</t>
  </si>
  <si>
    <t>Aschaffenburg</t>
  </si>
  <si>
    <t>Moers</t>
  </si>
  <si>
    <t>Landshut</t>
  </si>
  <si>
    <t>Lüneburg</t>
  </si>
  <si>
    <t>Villingen-Schwenningen</t>
  </si>
  <si>
    <t>Velbert</t>
  </si>
  <si>
    <t>Kiel</t>
  </si>
  <si>
    <t>Marl</t>
  </si>
  <si>
    <t>Heidelberg</t>
  </si>
  <si>
    <t>Ratingen</t>
  </si>
  <si>
    <t>Leverkusen</t>
  </si>
  <si>
    <t>Konstanz</t>
  </si>
  <si>
    <t>Flensburg</t>
  </si>
  <si>
    <t>Zwickau</t>
  </si>
  <si>
    <t>Solingen</t>
  </si>
  <si>
    <t>Iserlohn</t>
  </si>
  <si>
    <t>Hannover</t>
  </si>
  <si>
    <t>Düren</t>
  </si>
  <si>
    <t>Cottbus</t>
  </si>
  <si>
    <t>Ludwigsburg</t>
  </si>
  <si>
    <t>Ulm</t>
  </si>
  <si>
    <t>Gera</t>
  </si>
  <si>
    <t>Regensburg</t>
  </si>
  <si>
    <t>Esslingen am Neckar</t>
  </si>
  <si>
    <t>Lübeck</t>
  </si>
  <si>
    <t>Witten</t>
  </si>
  <si>
    <t>Karlsruhe</t>
  </si>
  <si>
    <t>Kaiserslautern</t>
  </si>
  <si>
    <t>Oldenburg</t>
  </si>
  <si>
    <t>Hildesheim</t>
  </si>
  <si>
    <t>Augsburg</t>
  </si>
  <si>
    <t>Siegen</t>
  </si>
  <si>
    <t>Pforzheim</t>
  </si>
  <si>
    <t>Salzgitter</t>
  </si>
  <si>
    <t>Frankfurt am Main</t>
  </si>
  <si>
    <t>Trier</t>
  </si>
  <si>
    <t>Recklinghausen</t>
  </si>
  <si>
    <t>Dortmund</t>
  </si>
  <si>
    <t>Remscheid</t>
  </si>
  <si>
    <t>Mannheim</t>
  </si>
  <si>
    <t>Jena</t>
  </si>
  <si>
    <t>Bergisch Gladbach</t>
  </si>
  <si>
    <t>Göttingen</t>
  </si>
  <si>
    <t>Bremerhaven</t>
  </si>
  <si>
    <t>Koblenz</t>
  </si>
  <si>
    <t>Wiesbaden</t>
  </si>
  <si>
    <t>Reutlingen</t>
  </si>
  <si>
    <t>Bottrop</t>
  </si>
  <si>
    <t>Wolfsburg</t>
  </si>
  <si>
    <t>Heilbronn</t>
  </si>
  <si>
    <t>Mainz</t>
  </si>
  <si>
    <t>Fürth</t>
  </si>
  <si>
    <t>Offenbach am Main</t>
  </si>
  <si>
    <t>Chemnitz</t>
  </si>
  <si>
    <t>Ingolstadt</t>
  </si>
  <si>
    <t>Herne</t>
  </si>
  <si>
    <t>Freiburg im Breisgau</t>
  </si>
  <si>
    <t>Neuss</t>
  </si>
  <si>
    <t>Kassel</t>
  </si>
  <si>
    <t>Paderborn</t>
  </si>
  <si>
    <t>Potsdam</t>
  </si>
  <si>
    <t>Darmstadt</t>
  </si>
  <si>
    <t>Bochum</t>
  </si>
  <si>
    <t>Wuppertal</t>
  </si>
  <si>
    <t>Halle (Saale)</t>
  </si>
  <si>
    <t>Osnabrück</t>
  </si>
  <si>
    <t>Mülheim an der Ruhr</t>
  </si>
  <si>
    <t>Magdeburg</t>
  </si>
  <si>
    <t>Ludwigshafen am Rhein</t>
  </si>
  <si>
    <t>Saarbrücken</t>
  </si>
  <si>
    <t>Hagen</t>
  </si>
  <si>
    <t>Rostock</t>
  </si>
  <si>
    <t>Duisburg</t>
  </si>
  <si>
    <t>Oberhausen</t>
  </si>
  <si>
    <t>Münster</t>
  </si>
  <si>
    <t>Erfurt</t>
  </si>
  <si>
    <t>Krefeld</t>
  </si>
  <si>
    <t>Braunschweig</t>
  </si>
  <si>
    <t>Gelsenkirchen</t>
  </si>
  <si>
    <t>Mönchengladbach</t>
  </si>
  <si>
    <t>Essen</t>
  </si>
  <si>
    <t>Aachen</t>
  </si>
  <si>
    <t>Bielefeld</t>
  </si>
  <si>
    <t>Nürnberg</t>
  </si>
  <si>
    <t>Düsseldorf</t>
  </si>
  <si>
    <t>Aufgaben</t>
  </si>
  <si>
    <t>1. Formatiere den Datensatz wie abgebildet</t>
  </si>
  <si>
    <t>OrderID</t>
  </si>
  <si>
    <t>Date</t>
  </si>
  <si>
    <t>Region</t>
  </si>
  <si>
    <t>Country</t>
  </si>
  <si>
    <t>Category</t>
  </si>
  <si>
    <t>Product</t>
  </si>
  <si>
    <t>Salesperson</t>
  </si>
  <si>
    <t>Units Sold</t>
  </si>
  <si>
    <t>Unit Price</t>
  </si>
  <si>
    <t>Discount</t>
  </si>
  <si>
    <t>Revenue</t>
  </si>
  <si>
    <t>North</t>
  </si>
  <si>
    <t>Laptop</t>
  </si>
  <si>
    <t>0.10</t>
  </si>
  <si>
    <t>Germany</t>
  </si>
  <si>
    <t>Electronics</t>
  </si>
  <si>
    <t>South</t>
  </si>
  <si>
    <t>Desk</t>
  </si>
  <si>
    <t>0.05</t>
  </si>
  <si>
    <t>France</t>
  </si>
  <si>
    <t>Furniture</t>
  </si>
  <si>
    <t>East</t>
  </si>
  <si>
    <t>Paper</t>
  </si>
  <si>
    <t>Netherlands</t>
  </si>
  <si>
    <t>Office Supplies</t>
  </si>
  <si>
    <t>West</t>
  </si>
  <si>
    <t>Monitor</t>
  </si>
  <si>
    <t>Austria</t>
  </si>
  <si>
    <t>Office Chair</t>
  </si>
  <si>
    <t>Elena</t>
  </si>
  <si>
    <t>1187.5</t>
  </si>
  <si>
    <t>Switzerland</t>
  </si>
  <si>
    <t>Mouse</t>
  </si>
  <si>
    <t>Notebook</t>
  </si>
  <si>
    <t>Greta</t>
  </si>
  <si>
    <t>86.4</t>
  </si>
  <si>
    <t>Tablet</t>
  </si>
  <si>
    <t>Hassan</t>
  </si>
  <si>
    <t>0.15</t>
  </si>
  <si>
    <t>Shelf</t>
  </si>
  <si>
    <t>Pen Pack</t>
  </si>
  <si>
    <t>Keyboard</t>
  </si>
  <si>
    <t>Cabinet</t>
  </si>
  <si>
    <t>997.5</t>
  </si>
  <si>
    <t>Stapler</t>
  </si>
  <si>
    <t>Month</t>
  </si>
  <si>
    <t>Feb</t>
  </si>
  <si>
    <t>Mar</t>
  </si>
  <si>
    <t>Apr</t>
  </si>
  <si>
    <t>May</t>
  </si>
  <si>
    <t>Jun</t>
  </si>
  <si>
    <t>Product Category</t>
  </si>
  <si>
    <t>Sales</t>
  </si>
  <si>
    <t>1. Erstelle mit DATE &amp; SEQUENCE eine Liste von 12 Datumswerten (Monatsanfänge ab 01.01.2026)</t>
  </si>
  <si>
    <t>2. Extrahiere mit DAY, MONTH, YEAR den Tag, Monat und das Jahr aus jedem Datum</t>
  </si>
  <si>
    <t>3. Berechne den Wochentag als Text (z.B. "Montag") mit CHOOSE &amp; WEEKDAY</t>
  </si>
  <si>
    <t>5. Zähle mit COUNTIF, wie viele Datumswerte im 1. Halbjahr liegen (MONTH &lt;= 6)</t>
  </si>
  <si>
    <t>6. Finde den frühesten und spätesten Termin (MIN / MAX)</t>
  </si>
  <si>
    <t>Lösung</t>
  </si>
  <si>
    <t>Frühestes Datum</t>
  </si>
  <si>
    <t>Spätestes Datum</t>
  </si>
  <si>
    <t>Datum</t>
  </si>
  <si>
    <t>DAY</t>
  </si>
  <si>
    <t>MONTH</t>
  </si>
  <si>
    <t>YEAR</t>
  </si>
  <si>
    <t>Wochentag</t>
  </si>
  <si>
    <t>Anzahl Daten im 1. Halbjahr</t>
  </si>
  <si>
    <t>Anzahl Daten im 2. Halbjahr</t>
  </si>
  <si>
    <t>Sales North</t>
  </si>
  <si>
    <t>Sales South</t>
  </si>
  <si>
    <t>Diff N-S</t>
  </si>
  <si>
    <t>Gesamt</t>
  </si>
  <si>
    <t>Aufgabe 2 – Gesamtumsatz je Monat</t>
  </si>
  <si>
    <t>Monat</t>
  </si>
  <si>
    <t>SUM of Sales</t>
  </si>
  <si>
    <t>Gesamtergebnis</t>
  </si>
  <si>
    <t>Aufgabe 3 – Umsatz: Kategorie × Region</t>
  </si>
  <si>
    <t>Kategorie</t>
  </si>
  <si>
    <t>2. Erstelle eine PivotTable: Gesamtumsatz (Sales) pro Monat</t>
  </si>
  <si>
    <t>3. Erstelle eine PivotTable: Umsatz nach Produktkategorie und Region</t>
  </si>
  <si>
    <t>4. Erstelle ein PivotChart, der die Umsatzentwicklung Jan–Jun zeigt</t>
  </si>
  <si>
    <t>Aufgabe 4 Pivot Chart</t>
  </si>
  <si>
    <t>Datensatz</t>
  </si>
  <si>
    <t>1. Berechne den Deckungsbeitrag pro Tasse</t>
  </si>
  <si>
    <t>Szenario: Du planst ein Café und willst wissen, wie viele Tassen Kaffee du täglich verkaufen musst, um deinen Zielgewinn zu erreichen.</t>
  </si>
  <si>
    <t>2.Schreibe die Formel für die Tassen pro Monat</t>
  </si>
  <si>
    <t>EINGABEDATEN  (blaue Felder = Annahmen)</t>
  </si>
  <si>
    <t>3. Schreibe die Formel für den Gesamtumsatz</t>
  </si>
  <si>
    <t>Preis pro Tasse (€)</t>
  </si>
  <si>
    <t>4. Schreibe die Formel für die Variablen Kosten</t>
  </si>
  <si>
    <t>Variable Kosten pro Tasse (€)</t>
  </si>
  <si>
    <t>5. Schreibe die Gewinn/Verlust-Formel</t>
  </si>
  <si>
    <t>Fixkosten pro Monat (€)</t>
  </si>
  <si>
    <t>6. Suche mit Goal Seek die notwendige Anzahl verkaufter Tassen, um 1000€ Gewinn zu machen</t>
  </si>
  <si>
    <t>Arbeitstage pro Monat</t>
  </si>
  <si>
    <t>BERECHNUNGEN</t>
  </si>
  <si>
    <t>Tassen pro Tag  ➜  ZIELWERT-ZELLE</t>
  </si>
  <si>
    <t>Tassen pro Monat</t>
  </si>
  <si>
    <t>Deckungsbeitrag pro Tasse (€)</t>
  </si>
  <si>
    <t>Gesamtumsatz pro Monat (€)</t>
  </si>
  <si>
    <t>Variable Kosten gesamt (€)</t>
  </si>
  <si>
    <t>Gewinn / Verlust pro Monat (€)  ← ZIEL</t>
  </si>
  <si>
    <t>1. Entferne die leeren Zeilen im Datensatz</t>
  </si>
  <si>
    <t>2. Entferne die # aus den Emailadressen</t>
  </si>
  <si>
    <t>#</t>
  </si>
  <si>
    <t>Kundennr.</t>
  </si>
  <si>
    <t>E-Mail</t>
  </si>
  <si>
    <t>Umsatz (€)</t>
  </si>
  <si>
    <t>Status</t>
  </si>
  <si>
    <t>3. Ersetze im Status "N/A" durch Inaktiv</t>
  </si>
  <si>
    <t>Mueller</t>
  </si>
  <si>
    <t>KD-0012</t>
  </si>
  <si>
    <t>anna.muel#ler@gmx.de</t>
  </si>
  <si>
    <t>aktiv</t>
  </si>
  <si>
    <t>4. Schreibe Aktiv im Status immer groß</t>
  </si>
  <si>
    <t>5. Schreibe bei den Kundennummern "KD" immer groß</t>
  </si>
  <si>
    <t>Bernd</t>
  </si>
  <si>
    <t>Schmidt</t>
  </si>
  <si>
    <t>KD-0034</t>
  </si>
  <si>
    <t>BERND.SCHMIDT@WEB.DE</t>
  </si>
  <si>
    <t>Aktiv</t>
  </si>
  <si>
    <t>Claudia</t>
  </si>
  <si>
    <t>kd-0056</t>
  </si>
  <si>
    <t>claudia.fischer@yahoo.com</t>
  </si>
  <si>
    <t>N/A</t>
  </si>
  <si>
    <t>Dieter</t>
  </si>
  <si>
    <t>KD-0078</t>
  </si>
  <si>
    <t>dieter_wa#gner@hotmail.com</t>
  </si>
  <si>
    <t>Eva</t>
  </si>
  <si>
    <t>KD-0099</t>
  </si>
  <si>
    <t>eva.bauer@gmx.de</t>
  </si>
  <si>
    <t>KD-0101</t>
  </si>
  <si>
    <t>frank.Koch@web.de</t>
  </si>
  <si>
    <t>Gabi</t>
  </si>
  <si>
    <t>kd-0123</t>
  </si>
  <si>
    <t>g.ric#hter@gmail.com</t>
  </si>
  <si>
    <t>Hans</t>
  </si>
  <si>
    <t>KD-0145</t>
  </si>
  <si>
    <t>hans.klein@gmx.de</t>
  </si>
  <si>
    <t>Irene</t>
  </si>
  <si>
    <t>KD-0167</t>
  </si>
  <si>
    <t>irene.wo#lf@yahoo.de</t>
  </si>
  <si>
    <t>Jochen</t>
  </si>
  <si>
    <t>KD-0189</t>
  </si>
  <si>
    <t>JOCHEN.NEUMA#NN@T-ONLINE.DE</t>
  </si>
  <si>
    <t>Katrin</t>
  </si>
  <si>
    <t>kd-0211</t>
  </si>
  <si>
    <t>katri#n.schwarz@web.de</t>
  </si>
  <si>
    <t>KD-0233</t>
  </si>
  <si>
    <t>l.zi#mmermann@gmail.com</t>
  </si>
  <si>
    <t>AKTIV</t>
  </si>
  <si>
    <t>Str h</t>
  </si>
  <si>
    <t>Öffnet Find &amp; Select</t>
  </si>
  <si>
    <t>Alt h e f</t>
  </si>
  <si>
    <t>Alt h e c</t>
  </si>
  <si>
    <t>Alt w v g</t>
  </si>
  <si>
    <t>Alt h b</t>
  </si>
  <si>
    <t>Alt h h</t>
  </si>
  <si>
    <t>Alt h f c</t>
  </si>
  <si>
    <t>Alt h ac</t>
  </si>
  <si>
    <t>Alt h al</t>
  </si>
  <si>
    <t>Alt h ar</t>
  </si>
  <si>
    <t>Alt h fs</t>
  </si>
  <si>
    <t>Alt h ff</t>
  </si>
  <si>
    <t xml:space="preserve">Alt h m </t>
  </si>
  <si>
    <t>Alt h o i</t>
  </si>
  <si>
    <t>Alt h o a</t>
  </si>
  <si>
    <t>Alt h v v</t>
  </si>
  <si>
    <t>Donnerstag</t>
  </si>
  <si>
    <t>Sonntag</t>
  </si>
  <si>
    <t>Mittwoch</t>
  </si>
  <si>
    <t>Freitag</t>
  </si>
  <si>
    <t>Montag</t>
  </si>
  <si>
    <t>Samstag</t>
  </si>
  <si>
    <t>Dienstag</t>
  </si>
  <si>
    <t>2. Markiere alle Einkommen über 30.000€ grün</t>
  </si>
  <si>
    <t>Datensatz:</t>
  </si>
  <si>
    <t>📊  AUFGABE  – ZIELWERTSUCHE (GOAL SEEK)</t>
  </si>
  <si>
    <t>1. Erstelle eine Liste mit Data Validation für die einzelnen Mitarbeiter zum Auswählen</t>
  </si>
  <si>
    <t>1. Formatiere den Datensatz als Tabelle</t>
  </si>
  <si>
    <t>2. Bringe die Länder und die Kategorie von der Zeilenform in die Spaltenform mithilfe der Tranpose-Formel</t>
  </si>
  <si>
    <t>Aufgaben: Find &amp; Select</t>
  </si>
  <si>
    <t>Aufgaben: Goal Seek</t>
  </si>
  <si>
    <t>2. Erstelle eine Tabelle (STR T) für den Datensatz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</si>
</sst>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#,##0&quot; €&quot;"/>
    <numFmt numFmtId="166" formatCode="m/d/yyyy"/>
    <numFmt numFmtId="167" formatCode="dd\.mm\.yyyy"/>
  </numFmts>
  <fonts count="2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1F4E79"/>
      <name val="Aptos Narrow"/>
      <family val="2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1"/>
      <name val="Aptos Narrow"/>
      <family val="2"/>
      <scheme val="minor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sz val="10"/>
      <color rgb="FF444444"/>
      <name val="Arial"/>
      <charset val="1"/>
    </font>
    <font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0"/>
      <color rgb="FFC00000"/>
      <name val="Arial"/>
      <charset val="1"/>
    </font>
    <font>
      <b/>
      <sz val="10"/>
      <color rgb="FFFF0000"/>
      <name val="Arial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0" tint="-0.14999847407452621"/>
        <bgColor rgb="FFDAEEF3"/>
      </patternFill>
    </fill>
    <fill>
      <patternFill patternType="solid">
        <fgColor rgb="FFDAEEF3"/>
        <bgColor rgb="FFCCFFFF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9E8F5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FF5FB"/>
      </patternFill>
    </fill>
    <fill>
      <patternFill patternType="solid">
        <fgColor rgb="FFEFF5FB"/>
        <bgColor rgb="FFFFFFFF"/>
      </patternFill>
    </fill>
    <fill>
      <patternFill patternType="solid">
        <fgColor theme="0" tint="-0.249977111117893"/>
        <bgColor rgb="FFFF8080"/>
      </patternFill>
    </fill>
    <fill>
      <patternFill patternType="solid">
        <fgColor theme="0" tint="-0.249977111117893"/>
        <bgColor rgb="FF0066CC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AAAAAA"/>
      </bottom>
      <diagonal/>
    </border>
    <border>
      <left/>
      <right style="thin">
        <color indexed="64"/>
      </right>
      <top style="thin">
        <color indexed="64"/>
      </top>
      <bottom style="thin">
        <color rgb="FFAAAAAA"/>
      </bottom>
      <diagonal/>
    </border>
    <border>
      <left style="thin">
        <color indexed="64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indexed="64"/>
      </right>
      <top style="thin">
        <color rgb="FFAAAAAA"/>
      </top>
      <bottom/>
      <diagonal/>
    </border>
    <border>
      <left style="thin">
        <color rgb="FFAAAAA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indexed="64"/>
      </right>
      <top/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9">
    <xf numFmtId="0" fontId="0" fillId="0" borderId="0"/>
    <xf numFmtId="0" fontId="7" fillId="0" borderId="0">
      <alignment horizontal="left"/>
    </xf>
    <xf numFmtId="0" fontId="7" fillId="0" borderId="0"/>
    <xf numFmtId="0" fontId="7" fillId="0" borderId="0"/>
    <xf numFmtId="0" fontId="1" fillId="0" borderId="0"/>
    <xf numFmtId="0" fontId="1" fillId="0" borderId="0">
      <alignment horizontal="left"/>
    </xf>
    <xf numFmtId="0" fontId="7" fillId="0" borderId="0"/>
    <xf numFmtId="0" fontId="9" fillId="0" borderId="0"/>
    <xf numFmtId="0" fontId="19" fillId="0" borderId="0" applyNumberFormat="0" applyFill="0" applyBorder="0" applyAlignment="0" applyProtection="0"/>
  </cellStyleXfs>
  <cellXfs count="137">
    <xf numFmtId="0" fontId="0" fillId="0" borderId="0" xfId="0"/>
    <xf numFmtId="0" fontId="4" fillId="4" borderId="12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3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3" borderId="1" xfId="0" applyFont="1" applyFill="1" applyBorder="1"/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right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3" xfId="0" applyFon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0" fontId="0" fillId="3" borderId="2" xfId="0" applyFill="1" applyBorder="1"/>
    <xf numFmtId="165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/>
    </xf>
    <xf numFmtId="3" fontId="0" fillId="0" borderId="5" xfId="0" applyNumberFormat="1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2" borderId="2" xfId="0" applyFill="1" applyBorder="1" applyAlignment="1">
      <alignment horizontal="center"/>
    </xf>
    <xf numFmtId="166" fontId="0" fillId="0" borderId="0" xfId="0" applyNumberFormat="1"/>
    <xf numFmtId="0" fontId="0" fillId="0" borderId="9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/>
    </xf>
    <xf numFmtId="0" fontId="1" fillId="0" borderId="0" xfId="0" applyFont="1"/>
    <xf numFmtId="0" fontId="3" fillId="0" borderId="3" xfId="0" applyFont="1" applyBorder="1" applyAlignment="1">
      <alignment horizontal="left" vertical="top"/>
    </xf>
    <xf numFmtId="167" fontId="3" fillId="0" borderId="10" xfId="0" applyNumberFormat="1" applyFont="1" applyBorder="1" applyAlignment="1">
      <alignment horizontal="center" vertical="top"/>
    </xf>
    <xf numFmtId="0" fontId="2" fillId="3" borderId="12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167" fontId="0" fillId="0" borderId="12" xfId="0" applyNumberFormat="1" applyBorder="1" applyAlignment="1">
      <alignment horizontal="center" vertical="top"/>
    </xf>
    <xf numFmtId="1" fontId="0" fillId="0" borderId="12" xfId="0" applyNumberForma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13" xfId="0" applyFont="1" applyBorder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5" fillId="0" borderId="12" xfId="0" applyFont="1" applyBorder="1" applyAlignment="1">
      <alignment horizontal="center" vertical="top"/>
    </xf>
    <xf numFmtId="0" fontId="5" fillId="0" borderId="12" xfId="0" applyFont="1" applyBorder="1" applyAlignment="1">
      <alignment horizontal="left" vertical="top"/>
    </xf>
    <xf numFmtId="3" fontId="0" fillId="0" borderId="12" xfId="0" applyNumberFormat="1" applyBorder="1" applyAlignment="1">
      <alignment horizontal="right" vertical="top"/>
    </xf>
    <xf numFmtId="38" fontId="0" fillId="0" borderId="12" xfId="0" applyNumberFormat="1" applyBorder="1" applyAlignment="1">
      <alignment horizontal="right" vertical="top"/>
    </xf>
    <xf numFmtId="3" fontId="4" fillId="4" borderId="12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3" fontId="4" fillId="0" borderId="12" xfId="0" applyNumberFormat="1" applyFont="1" applyBorder="1" applyAlignment="1">
      <alignment horizontal="right" vertical="top"/>
    </xf>
    <xf numFmtId="0" fontId="4" fillId="3" borderId="2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5" borderId="1" xfId="0" applyFont="1" applyFill="1" applyBorder="1"/>
    <xf numFmtId="0" fontId="9" fillId="0" borderId="0" xfId="7"/>
    <xf numFmtId="0" fontId="11" fillId="0" borderId="5" xfId="7" applyFont="1" applyBorder="1" applyAlignment="1">
      <alignment vertical="center"/>
    </xf>
    <xf numFmtId="0" fontId="12" fillId="0" borderId="0" xfId="7" applyFont="1" applyAlignment="1">
      <alignment vertical="center"/>
    </xf>
    <xf numFmtId="0" fontId="13" fillId="0" borderId="2" xfId="7" applyFont="1" applyBorder="1" applyAlignment="1">
      <alignment vertical="top" wrapText="1"/>
    </xf>
    <xf numFmtId="0" fontId="13" fillId="0" borderId="0" xfId="7" applyFont="1" applyAlignment="1">
      <alignment vertical="top" wrapText="1"/>
    </xf>
    <xf numFmtId="0" fontId="14" fillId="0" borderId="0" xfId="7" applyFont="1" applyAlignment="1">
      <alignment vertical="center" wrapText="1"/>
    </xf>
    <xf numFmtId="0" fontId="13" fillId="0" borderId="3" xfId="7" applyFont="1" applyBorder="1" applyAlignment="1">
      <alignment vertical="top" wrapText="1"/>
    </xf>
    <xf numFmtId="0" fontId="15" fillId="0" borderId="20" xfId="7" applyFont="1" applyBorder="1" applyAlignment="1">
      <alignment horizontal="left" vertical="center"/>
    </xf>
    <xf numFmtId="164" fontId="16" fillId="6" borderId="19" xfId="7" applyNumberFormat="1" applyFont="1" applyFill="1" applyBorder="1" applyAlignment="1">
      <alignment horizontal="center" vertical="center"/>
    </xf>
    <xf numFmtId="0" fontId="9" fillId="0" borderId="4" xfId="7" applyBorder="1" applyAlignment="1">
      <alignment wrapText="1"/>
    </xf>
    <xf numFmtId="0" fontId="15" fillId="0" borderId="21" xfId="7" applyFont="1" applyBorder="1" applyAlignment="1">
      <alignment horizontal="left" vertical="center"/>
    </xf>
    <xf numFmtId="1" fontId="16" fillId="6" borderId="22" xfId="7" applyNumberFormat="1" applyFont="1" applyFill="1" applyBorder="1" applyAlignment="1">
      <alignment horizontal="center" vertical="center"/>
    </xf>
    <xf numFmtId="0" fontId="17" fillId="0" borderId="24" xfId="7" applyFont="1" applyBorder="1" applyAlignment="1">
      <alignment horizontal="left" vertical="center"/>
    </xf>
    <xf numFmtId="1" fontId="16" fillId="7" borderId="25" xfId="7" applyNumberFormat="1" applyFont="1" applyFill="1" applyBorder="1" applyAlignment="1">
      <alignment horizontal="center" vertical="center"/>
    </xf>
    <xf numFmtId="1" fontId="15" fillId="0" borderId="19" xfId="7" applyNumberFormat="1" applyFont="1" applyBorder="1" applyAlignment="1">
      <alignment horizontal="center" vertical="center"/>
    </xf>
    <xf numFmtId="164" fontId="15" fillId="0" borderId="19" xfId="7" applyNumberFormat="1" applyFont="1" applyBorder="1" applyAlignment="1">
      <alignment horizontal="center" vertical="center"/>
    </xf>
    <xf numFmtId="0" fontId="17" fillId="0" borderId="26" xfId="7" applyFont="1" applyBorder="1" applyAlignment="1">
      <alignment horizontal="left" vertical="center"/>
    </xf>
    <xf numFmtId="164" fontId="17" fillId="8" borderId="27" xfId="7" applyNumberFormat="1" applyFont="1" applyFill="1" applyBorder="1" applyAlignment="1">
      <alignment horizontal="center" vertical="center"/>
    </xf>
    <xf numFmtId="0" fontId="9" fillId="9" borderId="1" xfId="7" applyFill="1" applyBorder="1"/>
    <xf numFmtId="0" fontId="9" fillId="0" borderId="3" xfId="7" applyBorder="1"/>
    <xf numFmtId="0" fontId="18" fillId="10" borderId="28" xfId="7" applyFont="1" applyFill="1" applyBorder="1" applyAlignment="1">
      <alignment horizontal="center" vertical="center"/>
    </xf>
    <xf numFmtId="0" fontId="13" fillId="11" borderId="28" xfId="7" applyFont="1" applyFill="1" applyBorder="1" applyAlignment="1">
      <alignment horizontal="center" vertical="center"/>
    </xf>
    <xf numFmtId="0" fontId="13" fillId="11" borderId="28" xfId="7" applyFont="1" applyFill="1" applyBorder="1" applyAlignment="1">
      <alignment horizontal="left" vertical="center"/>
    </xf>
    <xf numFmtId="0" fontId="19" fillId="11" borderId="28" xfId="8" applyFill="1" applyBorder="1" applyAlignment="1">
      <alignment horizontal="left" vertical="center"/>
    </xf>
    <xf numFmtId="164" fontId="13" fillId="11" borderId="28" xfId="7" applyNumberFormat="1" applyFont="1" applyFill="1" applyBorder="1" applyAlignment="1">
      <alignment horizontal="center" vertical="center"/>
    </xf>
    <xf numFmtId="0" fontId="9" fillId="0" borderId="4" xfId="7" applyBorder="1"/>
    <xf numFmtId="0" fontId="13" fillId="12" borderId="28" xfId="7" applyFont="1" applyFill="1" applyBorder="1" applyAlignment="1">
      <alignment horizontal="center" vertical="center"/>
    </xf>
    <xf numFmtId="0" fontId="13" fillId="12" borderId="28" xfId="7" applyFont="1" applyFill="1" applyBorder="1" applyAlignment="1">
      <alignment horizontal="left" vertical="center"/>
    </xf>
    <xf numFmtId="164" fontId="13" fillId="12" borderId="28" xfId="7" applyNumberFormat="1" applyFont="1" applyFill="1" applyBorder="1" applyAlignment="1">
      <alignment horizontal="center" vertical="center"/>
    </xf>
    <xf numFmtId="0" fontId="20" fillId="11" borderId="28" xfId="7" applyFont="1" applyFill="1" applyBorder="1" applyAlignment="1">
      <alignment horizontal="center" vertical="center"/>
    </xf>
    <xf numFmtId="0" fontId="21" fillId="11" borderId="28" xfId="7" applyFont="1" applyFill="1" applyBorder="1" applyAlignment="1">
      <alignment horizontal="center" vertical="center"/>
    </xf>
    <xf numFmtId="0" fontId="22" fillId="11" borderId="28" xfId="7" applyFont="1" applyFill="1" applyBorder="1" applyAlignment="1">
      <alignment horizontal="center" vertical="center"/>
    </xf>
    <xf numFmtId="0" fontId="19" fillId="12" borderId="28" xfId="8" applyFill="1" applyBorder="1" applyAlignment="1">
      <alignment horizontal="left" vertical="center"/>
    </xf>
    <xf numFmtId="0" fontId="22" fillId="12" borderId="28" xfId="7" applyFont="1" applyFill="1" applyBorder="1" applyAlignment="1">
      <alignment horizontal="center" vertical="center"/>
    </xf>
    <xf numFmtId="0" fontId="21" fillId="12" borderId="28" xfId="7" applyFont="1" applyFill="1" applyBorder="1" applyAlignment="1">
      <alignment horizontal="center" vertical="center"/>
    </xf>
    <xf numFmtId="0" fontId="10" fillId="13" borderId="14" xfId="7" applyFont="1" applyFill="1" applyBorder="1" applyAlignment="1">
      <alignment horizontal="left" vertical="center"/>
    </xf>
    <xf numFmtId="0" fontId="9" fillId="9" borderId="14" xfId="7" applyFill="1" applyBorder="1" applyAlignment="1">
      <alignment horizontal="center" vertical="center"/>
    </xf>
    <xf numFmtId="0" fontId="10" fillId="14" borderId="18" xfId="7" applyFont="1" applyFill="1" applyBorder="1" applyAlignment="1">
      <alignment vertical="center"/>
    </xf>
    <xf numFmtId="0" fontId="10" fillId="14" borderId="14" xfId="7" applyFont="1" applyFill="1" applyBorder="1" applyAlignment="1">
      <alignment vertical="center"/>
    </xf>
    <xf numFmtId="0" fontId="0" fillId="0" borderId="6" xfId="0" applyBorder="1"/>
    <xf numFmtId="0" fontId="12" fillId="9" borderId="15" xfId="7" applyFont="1" applyFill="1" applyBorder="1" applyAlignment="1">
      <alignment vertical="center"/>
    </xf>
    <xf numFmtId="0" fontId="11" fillId="14" borderId="19" xfId="7" applyFont="1" applyFill="1" applyBorder="1" applyAlignment="1">
      <alignment vertical="center"/>
    </xf>
    <xf numFmtId="0" fontId="11" fillId="14" borderId="23" xfId="7" applyFont="1" applyFill="1" applyBorder="1" applyAlignment="1">
      <alignment vertical="center"/>
    </xf>
    <xf numFmtId="0" fontId="14" fillId="0" borderId="16" xfId="7" applyFont="1" applyBorder="1" applyAlignment="1">
      <alignment horizontal="center" vertical="center" wrapText="1"/>
    </xf>
    <xf numFmtId="0" fontId="14" fillId="0" borderId="17" xfId="7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top"/>
    </xf>
  </cellXfs>
  <cellStyles count="9">
    <cellStyle name="Hyperlink 2" xfId="8" xr:uid="{6C9A2CE6-0A6B-433A-A13A-6F75AD167481}"/>
    <cellStyle name="Normal 2" xfId="7" xr:uid="{7751D5D9-35E5-4010-A434-9DE351BFA893}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  <cellStyle name="Standard" xfId="0" builtinId="0"/>
  </cellStyles>
  <dxfs count="1">
    <dxf>
      <font>
        <color theme="1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1C5E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382905</xdr:colOff>
      <xdr:row>36</xdr:row>
      <xdr:rowOff>26670</xdr:rowOff>
    </xdr:from>
    <xdr:to>
      <xdr:col>29</xdr:col>
      <xdr:colOff>68187</xdr:colOff>
      <xdr:row>57</xdr:row>
      <xdr:rowOff>11964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237BF-D65D-9041-35E6-2BA07F6C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3405" y="6627495"/>
          <a:ext cx="10839057" cy="38238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O11:P106" totalsRowShown="0">
  <autoFilter ref="O11:P106" xr:uid="{00000000-0009-0000-0100-000001000000}">
    <filterColumn colId="1" hiddenButton="1">
      <customFilters and="1">
        <customFilter operator="greaterThan" val="99999"/>
      </customFilters>
    </filterColumn>
  </autoFilter>
  <tableColumns count="2">
    <tableColumn id="1" xr3:uid="{00000000-0010-0000-0000-000001000000}" name="Stadt"/>
    <tableColumn id="2" xr3:uid="{00000000-0010-0000-0000-000002000000}" name="Populatio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g.ric#hter@gmail.com" TargetMode="External"/><Relationship Id="rId7" Type="http://schemas.openxmlformats.org/officeDocument/2006/relationships/hyperlink" Target="mailto:l.zi#mmermann@gmail.com" TargetMode="External"/><Relationship Id="rId2" Type="http://schemas.openxmlformats.org/officeDocument/2006/relationships/hyperlink" Target="mailto:dieter_wa#gner@hotmail.com" TargetMode="External"/><Relationship Id="rId1" Type="http://schemas.openxmlformats.org/officeDocument/2006/relationships/hyperlink" Target="mailto:anna.muel#ler@gmx.de" TargetMode="External"/><Relationship Id="rId6" Type="http://schemas.openxmlformats.org/officeDocument/2006/relationships/hyperlink" Target="mailto:katri#n.schwarz@web.de" TargetMode="External"/><Relationship Id="rId5" Type="http://schemas.openxmlformats.org/officeDocument/2006/relationships/hyperlink" Target="mailto:JOCHEN.NEUMA#NN@T-ONLINE.DE" TargetMode="External"/><Relationship Id="rId4" Type="http://schemas.openxmlformats.org/officeDocument/2006/relationships/hyperlink" Target="mailto:irene.wo#lf@yahoo.d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2"/>
  <sheetViews>
    <sheetView showGridLines="0" tabSelected="1" zoomScale="82" zoomScaleNormal="82" workbookViewId="0"/>
  </sheetViews>
  <sheetFormatPr baseColWidth="10" defaultColWidth="8.5" defaultRowHeight="15" x14ac:dyDescent="0.2"/>
  <cols>
    <col min="2" max="2" width="14.83203125" bestFit="1" customWidth="1"/>
    <col min="3" max="3" width="29.5" bestFit="1" customWidth="1"/>
    <col min="6" max="6" width="36" customWidth="1"/>
    <col min="7" max="7" width="28.83203125" customWidth="1"/>
  </cols>
  <sheetData>
    <row r="2" spans="2:3" x14ac:dyDescent="0.2">
      <c r="B2" s="2" t="s">
        <v>0</v>
      </c>
      <c r="C2" s="2" t="s">
        <v>1</v>
      </c>
    </row>
    <row r="3" spans="2:3" x14ac:dyDescent="0.2">
      <c r="B3" s="11" t="s">
        <v>2</v>
      </c>
      <c r="C3" s="7" t="s">
        <v>3</v>
      </c>
    </row>
    <row r="4" spans="2:3" x14ac:dyDescent="0.2">
      <c r="B4" s="11" t="s">
        <v>4</v>
      </c>
      <c r="C4" s="7" t="s">
        <v>5</v>
      </c>
    </row>
    <row r="5" spans="2:3" x14ac:dyDescent="0.2">
      <c r="B5" s="11" t="s">
        <v>6</v>
      </c>
      <c r="C5" s="7" t="s">
        <v>7</v>
      </c>
    </row>
    <row r="6" spans="2:3" x14ac:dyDescent="0.2">
      <c r="B6" s="11" t="s">
        <v>8</v>
      </c>
      <c r="C6" s="7" t="s">
        <v>9</v>
      </c>
    </row>
    <row r="7" spans="2:3" x14ac:dyDescent="0.2">
      <c r="B7" s="11" t="s">
        <v>10</v>
      </c>
      <c r="C7" s="7" t="s">
        <v>11</v>
      </c>
    </row>
    <row r="8" spans="2:3" ht="14.25" customHeight="1" x14ac:dyDescent="0.2">
      <c r="B8" s="11" t="s">
        <v>12</v>
      </c>
      <c r="C8" s="7" t="s">
        <v>13</v>
      </c>
    </row>
    <row r="9" spans="2:3" ht="14.25" customHeight="1" x14ac:dyDescent="0.2">
      <c r="B9" s="11" t="s">
        <v>14</v>
      </c>
      <c r="C9" s="7" t="s">
        <v>15</v>
      </c>
    </row>
    <row r="10" spans="2:3" ht="14.25" customHeight="1" x14ac:dyDescent="0.2">
      <c r="B10" s="11" t="s">
        <v>477</v>
      </c>
      <c r="C10" s="7" t="s">
        <v>16</v>
      </c>
    </row>
    <row r="11" spans="2:3" ht="14.25" customHeight="1" x14ac:dyDescent="0.2">
      <c r="B11" s="11" t="s">
        <v>478</v>
      </c>
      <c r="C11" s="7" t="s">
        <v>17</v>
      </c>
    </row>
    <row r="12" spans="2:3" ht="14.25" customHeight="1" x14ac:dyDescent="0.2">
      <c r="B12" s="11" t="s">
        <v>479</v>
      </c>
      <c r="C12" s="7" t="s">
        <v>18</v>
      </c>
    </row>
    <row r="13" spans="2:3" ht="14.25" customHeight="1" x14ac:dyDescent="0.2">
      <c r="B13" s="11" t="s">
        <v>480</v>
      </c>
      <c r="C13" s="7" t="s">
        <v>19</v>
      </c>
    </row>
    <row r="14" spans="2:3" ht="14.25" customHeight="1" x14ac:dyDescent="0.2">
      <c r="B14" s="11" t="s">
        <v>481</v>
      </c>
      <c r="C14" s="7" t="s">
        <v>20</v>
      </c>
    </row>
    <row r="15" spans="2:3" ht="14.25" customHeight="1" x14ac:dyDescent="0.2">
      <c r="B15" s="11" t="s">
        <v>482</v>
      </c>
      <c r="C15" s="7" t="s">
        <v>21</v>
      </c>
    </row>
    <row r="16" spans="2:3" ht="14.25" customHeight="1" x14ac:dyDescent="0.2">
      <c r="B16" s="11" t="s">
        <v>483</v>
      </c>
      <c r="C16" s="12" t="s">
        <v>22</v>
      </c>
    </row>
    <row r="17" spans="2:3" ht="14.25" customHeight="1" x14ac:dyDescent="0.2">
      <c r="B17" s="11" t="s">
        <v>484</v>
      </c>
      <c r="C17" s="7" t="s">
        <v>23</v>
      </c>
    </row>
    <row r="18" spans="2:3" ht="14.25" customHeight="1" x14ac:dyDescent="0.2">
      <c r="B18" s="11" t="s">
        <v>485</v>
      </c>
      <c r="C18" s="7" t="s">
        <v>24</v>
      </c>
    </row>
    <row r="19" spans="2:3" ht="14.25" customHeight="1" x14ac:dyDescent="0.2">
      <c r="B19" s="11" t="s">
        <v>486</v>
      </c>
      <c r="C19" s="7" t="s">
        <v>25</v>
      </c>
    </row>
    <row r="20" spans="2:3" ht="14.25" customHeight="1" x14ac:dyDescent="0.2">
      <c r="B20" s="11" t="s">
        <v>487</v>
      </c>
      <c r="C20" s="7" t="s">
        <v>26</v>
      </c>
    </row>
    <row r="21" spans="2:3" x14ac:dyDescent="0.2">
      <c r="B21" s="11" t="s">
        <v>488</v>
      </c>
      <c r="C21" s="7" t="s">
        <v>27</v>
      </c>
    </row>
    <row r="22" spans="2:3" ht="14.25" customHeight="1" x14ac:dyDescent="0.2">
      <c r="B22" s="11" t="s">
        <v>489</v>
      </c>
      <c r="C22" s="7" t="s">
        <v>28</v>
      </c>
    </row>
    <row r="23" spans="2:3" ht="14.25" customHeight="1" x14ac:dyDescent="0.2">
      <c r="B23" s="11" t="s">
        <v>490</v>
      </c>
      <c r="C23" s="7" t="s">
        <v>29</v>
      </c>
    </row>
    <row r="24" spans="2:3" ht="14.25" customHeight="1" x14ac:dyDescent="0.2">
      <c r="B24" s="11" t="s">
        <v>30</v>
      </c>
      <c r="C24" s="7" t="s">
        <v>31</v>
      </c>
    </row>
    <row r="25" spans="2:3" ht="14.25" customHeight="1" x14ac:dyDescent="0.2">
      <c r="B25" s="11" t="s">
        <v>491</v>
      </c>
      <c r="C25" s="7" t="s">
        <v>32</v>
      </c>
    </row>
    <row r="26" spans="2:3" x14ac:dyDescent="0.2">
      <c r="B26" s="130" t="s">
        <v>475</v>
      </c>
      <c r="C26" s="9" t="s">
        <v>476</v>
      </c>
    </row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2" ht="14.2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7"/>
  <sheetViews>
    <sheetView showGridLines="0" zoomScaleNormal="100" workbookViewId="0">
      <selection activeCell="B10" sqref="B10"/>
    </sheetView>
  </sheetViews>
  <sheetFormatPr baseColWidth="10" defaultColWidth="8.5" defaultRowHeight="15" x14ac:dyDescent="0.2"/>
  <cols>
    <col min="2" max="2" width="41.83203125" bestFit="1" customWidth="1"/>
    <col min="4" max="4" width="41.83203125" customWidth="1"/>
    <col min="5" max="5" width="9.83203125" customWidth="1"/>
    <col min="6" max="6" width="6.5" customWidth="1"/>
    <col min="7" max="7" width="13.83203125" customWidth="1"/>
  </cols>
  <sheetData>
    <row r="2" spans="2:8" ht="14.25" customHeight="1" x14ac:dyDescent="0.2">
      <c r="B2" s="13" t="s">
        <v>33</v>
      </c>
    </row>
    <row r="3" spans="2:8" ht="14.25" customHeight="1" x14ac:dyDescent="0.2">
      <c r="B3" s="5" t="s">
        <v>34</v>
      </c>
    </row>
    <row r="4" spans="2:8" ht="14.25" customHeight="1" x14ac:dyDescent="0.2">
      <c r="B4" s="9" t="s">
        <v>35</v>
      </c>
    </row>
    <row r="7" spans="2:8" ht="14.25" customHeight="1" x14ac:dyDescent="0.2">
      <c r="B7" s="13" t="s">
        <v>33</v>
      </c>
      <c r="C7" s="14" t="s">
        <v>36</v>
      </c>
      <c r="E7" s="13" t="s">
        <v>37</v>
      </c>
      <c r="F7" s="13" t="s">
        <v>38</v>
      </c>
      <c r="G7" s="13" t="s">
        <v>39</v>
      </c>
      <c r="H7" s="14" t="s">
        <v>40</v>
      </c>
    </row>
    <row r="8" spans="2:8" ht="14.25" customHeight="1" x14ac:dyDescent="0.2">
      <c r="B8" s="15" t="s">
        <v>41</v>
      </c>
      <c r="C8" s="16"/>
      <c r="E8" s="6">
        <v>1</v>
      </c>
      <c r="F8" s="6">
        <v>2</v>
      </c>
      <c r="G8" s="6">
        <v>15</v>
      </c>
      <c r="H8" s="17">
        <f t="shared" ref="H8:H39" si="0">F8*G8</f>
        <v>30</v>
      </c>
    </row>
    <row r="9" spans="2:8" ht="14.25" customHeight="1" x14ac:dyDescent="0.2">
      <c r="B9" s="15" t="s">
        <v>42</v>
      </c>
      <c r="C9" s="16"/>
      <c r="E9" s="8">
        <v>2</v>
      </c>
      <c r="F9" s="8">
        <v>1</v>
      </c>
      <c r="G9" s="8">
        <v>40</v>
      </c>
      <c r="H9" s="17">
        <f t="shared" si="0"/>
        <v>40</v>
      </c>
    </row>
    <row r="10" spans="2:8" ht="14.25" customHeight="1" x14ac:dyDescent="0.2">
      <c r="B10" s="15" t="s">
        <v>43</v>
      </c>
      <c r="C10" s="18"/>
      <c r="E10" s="8">
        <v>3</v>
      </c>
      <c r="F10" s="8">
        <v>3</v>
      </c>
      <c r="G10" s="8">
        <v>12</v>
      </c>
      <c r="H10" s="17">
        <f t="shared" si="0"/>
        <v>36</v>
      </c>
    </row>
    <row r="11" spans="2:8" ht="14.25" customHeight="1" x14ac:dyDescent="0.2">
      <c r="B11" s="15" t="s">
        <v>44</v>
      </c>
      <c r="C11" s="18"/>
      <c r="E11" s="8">
        <v>4</v>
      </c>
      <c r="F11" s="8">
        <v>5</v>
      </c>
      <c r="G11" s="8">
        <v>8</v>
      </c>
      <c r="H11" s="17">
        <f t="shared" si="0"/>
        <v>40</v>
      </c>
    </row>
    <row r="12" spans="2:8" ht="14.25" customHeight="1" x14ac:dyDescent="0.2">
      <c r="B12" s="15" t="s">
        <v>45</v>
      </c>
      <c r="C12" s="18"/>
      <c r="E12" s="8">
        <v>5</v>
      </c>
      <c r="F12" s="8">
        <v>4</v>
      </c>
      <c r="G12" s="8">
        <v>20</v>
      </c>
      <c r="H12" s="17">
        <f t="shared" si="0"/>
        <v>80</v>
      </c>
    </row>
    <row r="13" spans="2:8" ht="14.25" customHeight="1" x14ac:dyDescent="0.2">
      <c r="B13" s="15" t="s">
        <v>46</v>
      </c>
      <c r="C13" s="18"/>
      <c r="E13" s="8">
        <v>6</v>
      </c>
      <c r="F13" s="8">
        <v>2</v>
      </c>
      <c r="G13" s="8">
        <v>25</v>
      </c>
      <c r="H13" s="17">
        <f t="shared" si="0"/>
        <v>50</v>
      </c>
    </row>
    <row r="14" spans="2:8" ht="14.25" customHeight="1" x14ac:dyDescent="0.2">
      <c r="B14" s="15" t="s">
        <v>47</v>
      </c>
      <c r="C14" s="18"/>
      <c r="E14" s="8">
        <v>7</v>
      </c>
      <c r="F14" s="8">
        <v>1</v>
      </c>
      <c r="G14" s="8">
        <v>60</v>
      </c>
      <c r="H14" s="17">
        <f t="shared" si="0"/>
        <v>60</v>
      </c>
    </row>
    <row r="15" spans="2:8" ht="14.25" customHeight="1" x14ac:dyDescent="0.2">
      <c r="E15" s="8">
        <v>8</v>
      </c>
      <c r="F15" s="8">
        <v>6</v>
      </c>
      <c r="G15" s="8">
        <v>7</v>
      </c>
      <c r="H15" s="17">
        <f t="shared" si="0"/>
        <v>42</v>
      </c>
    </row>
    <row r="16" spans="2:8" ht="14.25" customHeight="1" x14ac:dyDescent="0.2">
      <c r="E16" s="8">
        <v>9</v>
      </c>
      <c r="F16" s="8">
        <v>3</v>
      </c>
      <c r="G16" s="8">
        <v>18</v>
      </c>
      <c r="H16" s="17">
        <f t="shared" si="0"/>
        <v>54</v>
      </c>
    </row>
    <row r="17" spans="5:8" ht="14.25" customHeight="1" x14ac:dyDescent="0.2">
      <c r="E17" s="8">
        <v>10</v>
      </c>
      <c r="F17" s="8">
        <v>2</v>
      </c>
      <c r="G17" s="8">
        <v>22</v>
      </c>
      <c r="H17" s="17">
        <f t="shared" si="0"/>
        <v>44</v>
      </c>
    </row>
    <row r="18" spans="5:8" ht="14.25" customHeight="1" x14ac:dyDescent="0.2">
      <c r="E18" s="8">
        <v>11</v>
      </c>
      <c r="F18" s="8">
        <v>4</v>
      </c>
      <c r="G18" s="8">
        <v>10</v>
      </c>
      <c r="H18" s="17">
        <f t="shared" si="0"/>
        <v>40</v>
      </c>
    </row>
    <row r="19" spans="5:8" ht="14.25" customHeight="1" x14ac:dyDescent="0.2">
      <c r="E19" s="8">
        <v>12</v>
      </c>
      <c r="F19" s="8">
        <v>5</v>
      </c>
      <c r="G19" s="8">
        <v>9</v>
      </c>
      <c r="H19" s="17">
        <f t="shared" si="0"/>
        <v>45</v>
      </c>
    </row>
    <row r="20" spans="5:8" ht="14.25" customHeight="1" x14ac:dyDescent="0.2">
      <c r="E20" s="8">
        <v>13</v>
      </c>
      <c r="F20" s="8">
        <v>3</v>
      </c>
      <c r="G20" s="8">
        <v>14</v>
      </c>
      <c r="H20" s="17">
        <f t="shared" si="0"/>
        <v>42</v>
      </c>
    </row>
    <row r="21" spans="5:8" ht="14.25" customHeight="1" x14ac:dyDescent="0.2">
      <c r="E21" s="8">
        <v>14</v>
      </c>
      <c r="F21" s="8">
        <v>2</v>
      </c>
      <c r="G21" s="8">
        <v>30</v>
      </c>
      <c r="H21" s="17">
        <f t="shared" si="0"/>
        <v>60</v>
      </c>
    </row>
    <row r="22" spans="5:8" ht="14.25" customHeight="1" x14ac:dyDescent="0.2">
      <c r="E22" s="8">
        <v>15</v>
      </c>
      <c r="F22" s="8">
        <v>1</v>
      </c>
      <c r="G22" s="8">
        <v>80</v>
      </c>
      <c r="H22" s="17">
        <f t="shared" si="0"/>
        <v>80</v>
      </c>
    </row>
    <row r="23" spans="5:8" ht="14.25" customHeight="1" x14ac:dyDescent="0.2">
      <c r="E23" s="8">
        <v>16</v>
      </c>
      <c r="F23" s="8">
        <v>7</v>
      </c>
      <c r="G23" s="8">
        <v>6</v>
      </c>
      <c r="H23" s="17">
        <f t="shared" si="0"/>
        <v>42</v>
      </c>
    </row>
    <row r="24" spans="5:8" ht="14.25" customHeight="1" x14ac:dyDescent="0.2">
      <c r="E24" s="8">
        <v>17</v>
      </c>
      <c r="F24" s="8">
        <v>4</v>
      </c>
      <c r="G24" s="8">
        <v>12</v>
      </c>
      <c r="H24" s="17">
        <f t="shared" si="0"/>
        <v>48</v>
      </c>
    </row>
    <row r="25" spans="5:8" ht="14.25" customHeight="1" x14ac:dyDescent="0.2">
      <c r="E25" s="8">
        <v>18</v>
      </c>
      <c r="F25" s="8">
        <v>3</v>
      </c>
      <c r="G25" s="8">
        <v>19</v>
      </c>
      <c r="H25" s="17">
        <f t="shared" si="0"/>
        <v>57</v>
      </c>
    </row>
    <row r="26" spans="5:8" ht="14.25" customHeight="1" x14ac:dyDescent="0.2">
      <c r="E26" s="8">
        <v>19</v>
      </c>
      <c r="F26" s="8">
        <v>2</v>
      </c>
      <c r="G26" s="8">
        <v>21</v>
      </c>
      <c r="H26" s="17">
        <f t="shared" si="0"/>
        <v>42</v>
      </c>
    </row>
    <row r="27" spans="5:8" ht="14.25" customHeight="1" x14ac:dyDescent="0.2">
      <c r="E27" s="8">
        <v>20</v>
      </c>
      <c r="F27" s="8">
        <v>5</v>
      </c>
      <c r="G27" s="8">
        <v>11</v>
      </c>
      <c r="H27" s="17">
        <f t="shared" si="0"/>
        <v>55</v>
      </c>
    </row>
    <row r="28" spans="5:8" ht="14.25" customHeight="1" x14ac:dyDescent="0.2">
      <c r="E28" s="8">
        <v>21</v>
      </c>
      <c r="F28" s="8">
        <v>1</v>
      </c>
      <c r="G28" s="8">
        <v>100</v>
      </c>
      <c r="H28" s="17">
        <f t="shared" si="0"/>
        <v>100</v>
      </c>
    </row>
    <row r="29" spans="5:8" ht="14.25" customHeight="1" x14ac:dyDescent="0.2">
      <c r="E29" s="8">
        <v>22</v>
      </c>
      <c r="F29" s="8">
        <v>3</v>
      </c>
      <c r="G29" s="8">
        <v>15</v>
      </c>
      <c r="H29" s="17">
        <f t="shared" si="0"/>
        <v>45</v>
      </c>
    </row>
    <row r="30" spans="5:8" ht="14.25" customHeight="1" x14ac:dyDescent="0.2">
      <c r="E30" s="8">
        <v>23</v>
      </c>
      <c r="F30" s="8">
        <v>2</v>
      </c>
      <c r="G30" s="8">
        <v>16</v>
      </c>
      <c r="H30" s="17">
        <f t="shared" si="0"/>
        <v>32</v>
      </c>
    </row>
    <row r="31" spans="5:8" ht="14.25" customHeight="1" x14ac:dyDescent="0.2">
      <c r="E31" s="8">
        <v>24</v>
      </c>
      <c r="F31" s="8">
        <v>6</v>
      </c>
      <c r="G31" s="8">
        <v>8</v>
      </c>
      <c r="H31" s="17">
        <f t="shared" si="0"/>
        <v>48</v>
      </c>
    </row>
    <row r="32" spans="5:8" ht="14.25" customHeight="1" x14ac:dyDescent="0.2">
      <c r="E32" s="8">
        <v>25</v>
      </c>
      <c r="F32" s="8">
        <v>4</v>
      </c>
      <c r="G32" s="8">
        <v>18</v>
      </c>
      <c r="H32" s="17">
        <f t="shared" si="0"/>
        <v>72</v>
      </c>
    </row>
    <row r="33" spans="5:8" ht="14.25" customHeight="1" x14ac:dyDescent="0.2">
      <c r="E33" s="8">
        <v>26</v>
      </c>
      <c r="F33" s="8">
        <v>5</v>
      </c>
      <c r="G33" s="8">
        <v>13</v>
      </c>
      <c r="H33" s="17">
        <f t="shared" si="0"/>
        <v>65</v>
      </c>
    </row>
    <row r="34" spans="5:8" ht="14.25" customHeight="1" x14ac:dyDescent="0.2">
      <c r="E34" s="8">
        <v>27</v>
      </c>
      <c r="F34" s="8">
        <v>3</v>
      </c>
      <c r="G34" s="8">
        <v>17</v>
      </c>
      <c r="H34" s="17">
        <f t="shared" si="0"/>
        <v>51</v>
      </c>
    </row>
    <row r="35" spans="5:8" ht="14.25" customHeight="1" x14ac:dyDescent="0.2">
      <c r="E35" s="8">
        <v>28</v>
      </c>
      <c r="F35" s="8">
        <v>2</v>
      </c>
      <c r="G35" s="8">
        <v>24</v>
      </c>
      <c r="H35" s="17">
        <f t="shared" si="0"/>
        <v>48</v>
      </c>
    </row>
    <row r="36" spans="5:8" ht="14.25" customHeight="1" x14ac:dyDescent="0.2">
      <c r="E36" s="8">
        <v>29</v>
      </c>
      <c r="F36" s="8">
        <v>7</v>
      </c>
      <c r="G36" s="8">
        <v>9</v>
      </c>
      <c r="H36" s="17">
        <f t="shared" si="0"/>
        <v>63</v>
      </c>
    </row>
    <row r="37" spans="5:8" ht="14.25" customHeight="1" x14ac:dyDescent="0.2">
      <c r="E37" s="8">
        <v>30</v>
      </c>
      <c r="F37" s="8">
        <v>4</v>
      </c>
      <c r="G37" s="8">
        <v>16</v>
      </c>
      <c r="H37" s="17">
        <f t="shared" si="0"/>
        <v>64</v>
      </c>
    </row>
    <row r="38" spans="5:8" ht="14.25" customHeight="1" x14ac:dyDescent="0.2">
      <c r="E38" s="8">
        <v>31</v>
      </c>
      <c r="F38" s="8">
        <v>3</v>
      </c>
      <c r="G38" s="8">
        <v>12</v>
      </c>
      <c r="H38" s="17">
        <f t="shared" si="0"/>
        <v>36</v>
      </c>
    </row>
    <row r="39" spans="5:8" ht="14.25" customHeight="1" x14ac:dyDescent="0.2">
      <c r="E39" s="8">
        <v>32</v>
      </c>
      <c r="F39" s="8">
        <v>5</v>
      </c>
      <c r="G39" s="8">
        <v>14</v>
      </c>
      <c r="H39" s="17">
        <f t="shared" si="0"/>
        <v>70</v>
      </c>
    </row>
    <row r="40" spans="5:8" ht="14.25" customHeight="1" x14ac:dyDescent="0.2">
      <c r="E40" s="8">
        <v>33</v>
      </c>
      <c r="F40" s="8">
        <v>2</v>
      </c>
      <c r="G40" s="8">
        <v>20</v>
      </c>
      <c r="H40" s="17">
        <f t="shared" ref="H40:H57" si="1">F40*G40</f>
        <v>40</v>
      </c>
    </row>
    <row r="41" spans="5:8" ht="14.25" customHeight="1" x14ac:dyDescent="0.2">
      <c r="E41" s="8">
        <v>34</v>
      </c>
      <c r="F41" s="8">
        <v>1</v>
      </c>
      <c r="G41" s="8">
        <v>90</v>
      </c>
      <c r="H41" s="17">
        <f t="shared" si="1"/>
        <v>90</v>
      </c>
    </row>
    <row r="42" spans="5:8" ht="14.25" customHeight="1" x14ac:dyDescent="0.2">
      <c r="E42" s="8">
        <v>35</v>
      </c>
      <c r="F42" s="8">
        <v>4</v>
      </c>
      <c r="G42" s="8">
        <v>15</v>
      </c>
      <c r="H42" s="17">
        <f t="shared" si="1"/>
        <v>60</v>
      </c>
    </row>
    <row r="43" spans="5:8" ht="14.25" customHeight="1" x14ac:dyDescent="0.2">
      <c r="E43" s="8">
        <v>36</v>
      </c>
      <c r="F43" s="8">
        <v>6</v>
      </c>
      <c r="G43" s="8">
        <v>11</v>
      </c>
      <c r="H43" s="17">
        <f t="shared" si="1"/>
        <v>66</v>
      </c>
    </row>
    <row r="44" spans="5:8" ht="14.25" customHeight="1" x14ac:dyDescent="0.2">
      <c r="E44" s="8">
        <v>37</v>
      </c>
      <c r="F44" s="8">
        <v>3</v>
      </c>
      <c r="G44" s="8">
        <v>21</v>
      </c>
      <c r="H44" s="17">
        <f t="shared" si="1"/>
        <v>63</v>
      </c>
    </row>
    <row r="45" spans="5:8" ht="14.25" customHeight="1" x14ac:dyDescent="0.2">
      <c r="E45" s="8">
        <v>38</v>
      </c>
      <c r="F45" s="8">
        <v>2</v>
      </c>
      <c r="G45" s="8">
        <v>35</v>
      </c>
      <c r="H45" s="17">
        <f t="shared" si="1"/>
        <v>70</v>
      </c>
    </row>
    <row r="46" spans="5:8" ht="14.25" customHeight="1" x14ac:dyDescent="0.2">
      <c r="E46" s="8">
        <v>39</v>
      </c>
      <c r="F46" s="8">
        <v>5</v>
      </c>
      <c r="G46" s="8">
        <v>10</v>
      </c>
      <c r="H46" s="17">
        <f t="shared" si="1"/>
        <v>50</v>
      </c>
    </row>
    <row r="47" spans="5:8" ht="14.25" customHeight="1" x14ac:dyDescent="0.2">
      <c r="E47" s="8">
        <v>40</v>
      </c>
      <c r="F47" s="8">
        <v>4</v>
      </c>
      <c r="G47" s="8">
        <v>18</v>
      </c>
      <c r="H47" s="17">
        <f t="shared" si="1"/>
        <v>72</v>
      </c>
    </row>
    <row r="48" spans="5:8" ht="14.25" customHeight="1" x14ac:dyDescent="0.2">
      <c r="E48" s="8">
        <v>41</v>
      </c>
      <c r="F48" s="8">
        <v>6</v>
      </c>
      <c r="G48" s="8">
        <v>7</v>
      </c>
      <c r="H48" s="17">
        <f t="shared" si="1"/>
        <v>42</v>
      </c>
    </row>
    <row r="49" spans="5:8" ht="14.25" customHeight="1" x14ac:dyDescent="0.2">
      <c r="E49" s="8">
        <v>42</v>
      </c>
      <c r="F49" s="8">
        <v>2</v>
      </c>
      <c r="G49" s="8">
        <v>40</v>
      </c>
      <c r="H49" s="17">
        <f t="shared" si="1"/>
        <v>80</v>
      </c>
    </row>
    <row r="50" spans="5:8" ht="14.25" customHeight="1" x14ac:dyDescent="0.2">
      <c r="E50" s="8">
        <v>43</v>
      </c>
      <c r="F50" s="8">
        <v>3</v>
      </c>
      <c r="G50" s="8">
        <v>13</v>
      </c>
      <c r="H50" s="17">
        <f t="shared" si="1"/>
        <v>39</v>
      </c>
    </row>
    <row r="51" spans="5:8" ht="14.25" customHeight="1" x14ac:dyDescent="0.2">
      <c r="E51" s="8">
        <v>44</v>
      </c>
      <c r="F51" s="8">
        <v>4</v>
      </c>
      <c r="G51" s="8">
        <v>22</v>
      </c>
      <c r="H51" s="17">
        <f t="shared" si="1"/>
        <v>88</v>
      </c>
    </row>
    <row r="52" spans="5:8" ht="14.25" customHeight="1" x14ac:dyDescent="0.2">
      <c r="E52" s="8">
        <v>45</v>
      </c>
      <c r="F52" s="8">
        <v>1</v>
      </c>
      <c r="G52" s="8">
        <v>120</v>
      </c>
      <c r="H52" s="17">
        <f t="shared" si="1"/>
        <v>120</v>
      </c>
    </row>
    <row r="53" spans="5:8" ht="14.25" customHeight="1" x14ac:dyDescent="0.2">
      <c r="E53" s="8">
        <v>46</v>
      </c>
      <c r="F53" s="8">
        <v>5</v>
      </c>
      <c r="G53" s="8">
        <v>16</v>
      </c>
      <c r="H53" s="17">
        <f t="shared" si="1"/>
        <v>80</v>
      </c>
    </row>
    <row r="54" spans="5:8" ht="14.25" customHeight="1" x14ac:dyDescent="0.2">
      <c r="E54" s="8">
        <v>47</v>
      </c>
      <c r="F54" s="8">
        <v>3</v>
      </c>
      <c r="G54" s="8">
        <v>14</v>
      </c>
      <c r="H54" s="17">
        <f t="shared" si="1"/>
        <v>42</v>
      </c>
    </row>
    <row r="55" spans="5:8" ht="14.25" customHeight="1" x14ac:dyDescent="0.2">
      <c r="E55" s="8">
        <v>48</v>
      </c>
      <c r="F55" s="8">
        <v>2</v>
      </c>
      <c r="G55" s="8">
        <v>28</v>
      </c>
      <c r="H55" s="17">
        <f t="shared" si="1"/>
        <v>56</v>
      </c>
    </row>
    <row r="56" spans="5:8" ht="14.25" customHeight="1" x14ac:dyDescent="0.2">
      <c r="E56" s="8">
        <v>49</v>
      </c>
      <c r="F56" s="8">
        <v>7</v>
      </c>
      <c r="G56" s="8">
        <v>8</v>
      </c>
      <c r="H56" s="17">
        <f t="shared" si="1"/>
        <v>56</v>
      </c>
    </row>
    <row r="57" spans="5:8" ht="14.25" customHeight="1" x14ac:dyDescent="0.2">
      <c r="E57" s="10">
        <v>50</v>
      </c>
      <c r="F57" s="10">
        <v>4</v>
      </c>
      <c r="G57" s="10">
        <v>19</v>
      </c>
      <c r="H57" s="19">
        <f t="shared" si="1"/>
        <v>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J36"/>
  <sheetViews>
    <sheetView showGridLines="0" zoomScale="78" zoomScaleNormal="61" workbookViewId="0">
      <selection activeCell="B6" sqref="B6"/>
    </sheetView>
  </sheetViews>
  <sheetFormatPr baseColWidth="10" defaultColWidth="8.5" defaultRowHeight="15" x14ac:dyDescent="0.2"/>
  <cols>
    <col min="2" max="2" width="74.1640625" customWidth="1"/>
    <col min="3" max="3" width="20.5" customWidth="1"/>
    <col min="4" max="4" width="10.33203125" customWidth="1"/>
    <col min="5" max="5" width="10" customWidth="1"/>
    <col min="7" max="9" width="18" customWidth="1"/>
    <col min="10" max="10" width="11.83203125" customWidth="1"/>
  </cols>
  <sheetData>
    <row r="5" spans="2:10" ht="14.25" customHeight="1" x14ac:dyDescent="0.2">
      <c r="B5" s="14" t="s">
        <v>33</v>
      </c>
    </row>
    <row r="6" spans="2:10" ht="14.25" customHeight="1" x14ac:dyDescent="0.2">
      <c r="B6" s="5" t="s">
        <v>48</v>
      </c>
    </row>
    <row r="7" spans="2:10" ht="14.25" customHeight="1" x14ac:dyDescent="0.2">
      <c r="B7" s="7" t="s">
        <v>499</v>
      </c>
    </row>
    <row r="8" spans="2:10" ht="14.25" customHeight="1" x14ac:dyDescent="0.2">
      <c r="B8" s="7" t="s">
        <v>49</v>
      </c>
    </row>
    <row r="9" spans="2:10" ht="14.25" customHeight="1" x14ac:dyDescent="0.2">
      <c r="B9" s="7" t="s">
        <v>50</v>
      </c>
    </row>
    <row r="10" spans="2:10" ht="14.25" customHeight="1" x14ac:dyDescent="0.2">
      <c r="B10" s="9" t="s">
        <v>51</v>
      </c>
      <c r="I10" s="90" t="s">
        <v>52</v>
      </c>
    </row>
    <row r="12" spans="2:10" ht="14.25" customHeight="1" x14ac:dyDescent="0.2">
      <c r="E12" s="15" t="s">
        <v>53</v>
      </c>
      <c r="F12" s="15" t="s">
        <v>54</v>
      </c>
      <c r="I12" s="20" t="s">
        <v>53</v>
      </c>
      <c r="J12" s="20" t="s">
        <v>54</v>
      </c>
    </row>
    <row r="13" spans="2:10" ht="14.25" customHeight="1" x14ac:dyDescent="0.2">
      <c r="E13" s="5" t="s">
        <v>55</v>
      </c>
      <c r="F13" s="6">
        <v>32500</v>
      </c>
      <c r="I13" s="21" t="s">
        <v>55</v>
      </c>
      <c r="J13" s="22">
        <v>32500</v>
      </c>
    </row>
    <row r="14" spans="2:10" ht="14.25" customHeight="1" x14ac:dyDescent="0.2">
      <c r="E14" s="23" t="s">
        <v>56</v>
      </c>
      <c r="F14" s="12">
        <v>41200</v>
      </c>
      <c r="I14" s="12" t="s">
        <v>56</v>
      </c>
      <c r="J14" s="24">
        <v>41200</v>
      </c>
    </row>
    <row r="15" spans="2:10" ht="14.25" customHeight="1" x14ac:dyDescent="0.2">
      <c r="E15" s="7" t="s">
        <v>57</v>
      </c>
      <c r="F15" s="8">
        <v>28900</v>
      </c>
      <c r="I15" s="12" t="s">
        <v>57</v>
      </c>
      <c r="J15" s="24">
        <v>28900</v>
      </c>
    </row>
    <row r="16" spans="2:10" ht="14.25" customHeight="1" x14ac:dyDescent="0.2">
      <c r="E16" s="7" t="s">
        <v>58</v>
      </c>
      <c r="F16" s="25">
        <v>36700</v>
      </c>
      <c r="I16" s="12" t="s">
        <v>58</v>
      </c>
      <c r="J16" s="24">
        <v>36700</v>
      </c>
    </row>
    <row r="17" spans="5:10" ht="14.25" customHeight="1" x14ac:dyDescent="0.2">
      <c r="E17" s="26" t="s">
        <v>59</v>
      </c>
      <c r="F17" s="12">
        <v>52400</v>
      </c>
      <c r="I17" s="12" t="s">
        <v>59</v>
      </c>
      <c r="J17" s="24">
        <v>52400</v>
      </c>
    </row>
    <row r="18" spans="5:10" ht="14.25" customHeight="1" x14ac:dyDescent="0.2">
      <c r="E18" s="7" t="s">
        <v>60</v>
      </c>
      <c r="F18" s="8">
        <v>30100</v>
      </c>
      <c r="I18" s="12" t="s">
        <v>60</v>
      </c>
      <c r="J18" s="24">
        <v>30100</v>
      </c>
    </row>
    <row r="19" spans="5:10" ht="14.25" customHeight="1" x14ac:dyDescent="0.2">
      <c r="E19" s="23" t="s">
        <v>61</v>
      </c>
      <c r="F19" s="12">
        <v>44800</v>
      </c>
      <c r="I19" s="12" t="s">
        <v>61</v>
      </c>
      <c r="J19" s="24">
        <v>44800</v>
      </c>
    </row>
    <row r="20" spans="5:10" ht="14.25" customHeight="1" x14ac:dyDescent="0.2">
      <c r="E20" s="7" t="s">
        <v>62</v>
      </c>
      <c r="F20" s="8">
        <v>27600</v>
      </c>
      <c r="I20" s="12" t="s">
        <v>62</v>
      </c>
      <c r="J20" s="24">
        <v>27600</v>
      </c>
    </row>
    <row r="21" spans="5:10" ht="14.25" customHeight="1" x14ac:dyDescent="0.2">
      <c r="E21" s="26" t="s">
        <v>63</v>
      </c>
      <c r="F21" s="12">
        <v>39300</v>
      </c>
      <c r="I21" s="12" t="s">
        <v>63</v>
      </c>
      <c r="J21" s="24">
        <v>39300</v>
      </c>
    </row>
    <row r="22" spans="5:10" ht="14.25" customHeight="1" x14ac:dyDescent="0.2">
      <c r="E22" s="7" t="s">
        <v>64</v>
      </c>
      <c r="F22" s="8">
        <v>33900</v>
      </c>
      <c r="I22" s="12" t="s">
        <v>64</v>
      </c>
      <c r="J22" s="24">
        <v>33900</v>
      </c>
    </row>
    <row r="23" spans="5:10" ht="14.25" customHeight="1" x14ac:dyDescent="0.2">
      <c r="E23" s="25" t="s">
        <v>65</v>
      </c>
      <c r="F23" s="12">
        <v>47500</v>
      </c>
      <c r="I23" s="12" t="s">
        <v>65</v>
      </c>
      <c r="J23" s="24">
        <v>47500</v>
      </c>
    </row>
    <row r="24" spans="5:10" ht="14.25" customHeight="1" x14ac:dyDescent="0.2">
      <c r="E24" s="26" t="s">
        <v>66</v>
      </c>
      <c r="F24" s="8">
        <v>29800</v>
      </c>
      <c r="I24" s="12" t="s">
        <v>66</v>
      </c>
      <c r="J24" s="24">
        <v>29800</v>
      </c>
    </row>
    <row r="25" spans="5:10" ht="14.25" customHeight="1" x14ac:dyDescent="0.2">
      <c r="E25" s="26" t="s">
        <v>67</v>
      </c>
      <c r="F25" s="25">
        <v>55200</v>
      </c>
      <c r="I25" s="12" t="s">
        <v>67</v>
      </c>
      <c r="J25" s="24">
        <v>55200</v>
      </c>
    </row>
    <row r="26" spans="5:10" ht="14.25" customHeight="1" x14ac:dyDescent="0.2">
      <c r="E26" s="7" t="s">
        <v>68</v>
      </c>
      <c r="F26" s="8">
        <v>38400</v>
      </c>
      <c r="I26" s="12" t="s">
        <v>68</v>
      </c>
      <c r="J26" s="24">
        <v>38400</v>
      </c>
    </row>
    <row r="27" spans="5:10" ht="14.25" customHeight="1" x14ac:dyDescent="0.2">
      <c r="E27" s="26" t="s">
        <v>69</v>
      </c>
      <c r="F27" s="12">
        <v>42700</v>
      </c>
      <c r="I27" s="12" t="s">
        <v>69</v>
      </c>
      <c r="J27" s="24">
        <v>42700</v>
      </c>
    </row>
    <row r="28" spans="5:10" ht="14.25" customHeight="1" x14ac:dyDescent="0.2">
      <c r="E28" s="7" t="s">
        <v>70</v>
      </c>
      <c r="F28" s="8">
        <v>31600</v>
      </c>
      <c r="I28" s="12" t="s">
        <v>70</v>
      </c>
      <c r="J28" s="24">
        <v>31600</v>
      </c>
    </row>
    <row r="29" spans="5:10" ht="14.25" customHeight="1" x14ac:dyDescent="0.2">
      <c r="E29" s="7" t="s">
        <v>71</v>
      </c>
      <c r="F29" s="25">
        <v>49100</v>
      </c>
      <c r="I29" s="12" t="s">
        <v>71</v>
      </c>
      <c r="J29" s="24">
        <v>49100</v>
      </c>
    </row>
    <row r="30" spans="5:10" ht="14.25" customHeight="1" x14ac:dyDescent="0.2">
      <c r="E30" s="26" t="s">
        <v>72</v>
      </c>
      <c r="F30" s="25">
        <v>34200</v>
      </c>
      <c r="I30" s="12" t="s">
        <v>72</v>
      </c>
      <c r="J30" s="24">
        <v>34200</v>
      </c>
    </row>
    <row r="31" spans="5:10" ht="14.25" customHeight="1" x14ac:dyDescent="0.2">
      <c r="E31" s="7" t="s">
        <v>73</v>
      </c>
      <c r="F31" s="12">
        <v>45600</v>
      </c>
      <c r="I31" s="12" t="s">
        <v>73</v>
      </c>
      <c r="J31" s="24">
        <v>45600</v>
      </c>
    </row>
    <row r="32" spans="5:10" ht="14.25" customHeight="1" x14ac:dyDescent="0.2">
      <c r="E32" s="27" t="s">
        <v>74</v>
      </c>
      <c r="F32" s="10">
        <v>37000</v>
      </c>
      <c r="I32" s="28" t="s">
        <v>74</v>
      </c>
      <c r="J32" s="29">
        <v>37000</v>
      </c>
    </row>
    <row r="34" spans="3:4" ht="14.25" customHeight="1" x14ac:dyDescent="0.2">
      <c r="C34" s="30" t="s">
        <v>75</v>
      </c>
    </row>
    <row r="35" spans="3:4" ht="14.25" customHeight="1" x14ac:dyDescent="0.2">
      <c r="C35" s="5" t="s">
        <v>60</v>
      </c>
      <c r="D35" s="31"/>
    </row>
    <row r="36" spans="3:4" ht="14.25" customHeight="1" x14ac:dyDescent="0.2">
      <c r="C36" s="9" t="s">
        <v>69</v>
      </c>
      <c r="D36" s="31"/>
    </row>
  </sheetData>
  <conditionalFormatting sqref="J13:J32">
    <cfRule type="cellIs" dxfId="0" priority="1" operator="greaterThan">
      <formula>30000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60"/>
  <sheetViews>
    <sheetView showGridLines="0" zoomScaleNormal="100" workbookViewId="0">
      <selection activeCell="B9" sqref="B9"/>
    </sheetView>
  </sheetViews>
  <sheetFormatPr baseColWidth="10" defaultColWidth="8.5" defaultRowHeight="15" x14ac:dyDescent="0.2"/>
  <cols>
    <col min="2" max="2" width="63.83203125" customWidth="1"/>
    <col min="7" max="7" width="8.83203125" customWidth="1"/>
    <col min="8" max="8" width="12.5" customWidth="1"/>
    <col min="9" max="9" width="8.83203125" customWidth="1"/>
    <col min="10" max="10" width="12.5" customWidth="1"/>
    <col min="11" max="11" width="8.83203125" customWidth="1"/>
    <col min="12" max="12" width="5.1640625" customWidth="1"/>
    <col min="13" max="13" width="11.33203125" customWidth="1"/>
    <col min="14" max="14" width="8.83203125" customWidth="1"/>
    <col min="15" max="15" width="12.5" customWidth="1"/>
    <col min="16" max="16" width="8.83203125" customWidth="1"/>
    <col min="17" max="17" width="5.1640625" customWidth="1"/>
    <col min="18" max="18" width="11.33203125" customWidth="1"/>
  </cols>
  <sheetData>
    <row r="2" spans="2:13" ht="14.25" customHeight="1" x14ac:dyDescent="0.2">
      <c r="B2" s="30" t="s">
        <v>33</v>
      </c>
    </row>
    <row r="3" spans="2:13" ht="14.25" customHeight="1" x14ac:dyDescent="0.2">
      <c r="B3" s="5" t="s">
        <v>76</v>
      </c>
    </row>
    <row r="4" spans="2:13" ht="14.25" customHeight="1" x14ac:dyDescent="0.2">
      <c r="B4" s="9" t="s">
        <v>77</v>
      </c>
    </row>
    <row r="8" spans="2:13" x14ac:dyDescent="0.2">
      <c r="B8" t="s">
        <v>500</v>
      </c>
      <c r="I8" t="s">
        <v>382</v>
      </c>
    </row>
    <row r="10" spans="2:13" ht="14.25" customHeight="1" x14ac:dyDescent="0.2">
      <c r="B10" t="s">
        <v>78</v>
      </c>
      <c r="I10" s="20" t="s">
        <v>79</v>
      </c>
      <c r="J10" s="20" t="s">
        <v>80</v>
      </c>
      <c r="K10" s="20" t="s">
        <v>81</v>
      </c>
      <c r="L10" s="20" t="s">
        <v>82</v>
      </c>
      <c r="M10" s="20" t="s">
        <v>83</v>
      </c>
    </row>
    <row r="11" spans="2:13" ht="14.25" customHeight="1" x14ac:dyDescent="0.2">
      <c r="B11" t="s">
        <v>84</v>
      </c>
      <c r="I11" s="5" t="s">
        <v>85</v>
      </c>
      <c r="J11" t="s">
        <v>86</v>
      </c>
      <c r="K11" s="5" t="s">
        <v>87</v>
      </c>
      <c r="L11" s="4">
        <v>29</v>
      </c>
      <c r="M11" s="22">
        <v>42000</v>
      </c>
    </row>
    <row r="12" spans="2:13" ht="14.25" customHeight="1" x14ac:dyDescent="0.2">
      <c r="B12" t="s">
        <v>88</v>
      </c>
      <c r="I12" s="7" t="s">
        <v>89</v>
      </c>
      <c r="J12" t="s">
        <v>90</v>
      </c>
      <c r="K12" s="7" t="s">
        <v>91</v>
      </c>
      <c r="L12" s="4">
        <v>34</v>
      </c>
      <c r="M12" s="24">
        <v>51000</v>
      </c>
    </row>
    <row r="13" spans="2:13" ht="14.25" customHeight="1" x14ac:dyDescent="0.2">
      <c r="B13" t="s">
        <v>92</v>
      </c>
      <c r="I13" s="7" t="s">
        <v>93</v>
      </c>
      <c r="J13" t="s">
        <v>94</v>
      </c>
      <c r="K13" s="7" t="s">
        <v>95</v>
      </c>
      <c r="L13" s="4">
        <v>27</v>
      </c>
      <c r="M13" s="24">
        <v>39000</v>
      </c>
    </row>
    <row r="14" spans="2:13" ht="14.25" customHeight="1" x14ac:dyDescent="0.2">
      <c r="B14" t="s">
        <v>96</v>
      </c>
      <c r="I14" s="7" t="s">
        <v>97</v>
      </c>
      <c r="J14" t="s">
        <v>98</v>
      </c>
      <c r="K14" s="7" t="s">
        <v>99</v>
      </c>
      <c r="L14" s="4">
        <v>31</v>
      </c>
      <c r="M14" s="24">
        <v>46000</v>
      </c>
    </row>
    <row r="15" spans="2:13" ht="14.25" customHeight="1" x14ac:dyDescent="0.2">
      <c r="B15" t="s">
        <v>100</v>
      </c>
      <c r="I15" s="7" t="s">
        <v>101</v>
      </c>
      <c r="J15" t="s">
        <v>102</v>
      </c>
      <c r="K15" s="7" t="s">
        <v>103</v>
      </c>
      <c r="L15" s="4">
        <v>25</v>
      </c>
      <c r="M15" s="24">
        <v>37000</v>
      </c>
    </row>
    <row r="16" spans="2:13" ht="14.25" customHeight="1" x14ac:dyDescent="0.2">
      <c r="B16" t="s">
        <v>104</v>
      </c>
      <c r="I16" s="7" t="s">
        <v>105</v>
      </c>
      <c r="J16" t="s">
        <v>106</v>
      </c>
      <c r="K16" s="7" t="s">
        <v>107</v>
      </c>
      <c r="L16" s="4">
        <v>40</v>
      </c>
      <c r="M16" s="24">
        <v>62000</v>
      </c>
    </row>
    <row r="17" spans="2:13" ht="14.25" customHeight="1" x14ac:dyDescent="0.2">
      <c r="B17" t="s">
        <v>108</v>
      </c>
      <c r="I17" s="7" t="s">
        <v>109</v>
      </c>
      <c r="J17" t="s">
        <v>110</v>
      </c>
      <c r="K17" s="7" t="s">
        <v>111</v>
      </c>
      <c r="L17" s="4">
        <v>22</v>
      </c>
      <c r="M17" s="24">
        <v>31000</v>
      </c>
    </row>
    <row r="18" spans="2:13" ht="14.25" customHeight="1" x14ac:dyDescent="0.2">
      <c r="B18" t="s">
        <v>112</v>
      </c>
      <c r="I18" s="7" t="s">
        <v>113</v>
      </c>
      <c r="J18" t="s">
        <v>114</v>
      </c>
      <c r="K18" s="7" t="s">
        <v>115</v>
      </c>
      <c r="L18" s="4">
        <v>36</v>
      </c>
      <c r="M18" s="24">
        <v>54000</v>
      </c>
    </row>
    <row r="19" spans="2:13" ht="14.25" customHeight="1" x14ac:dyDescent="0.2">
      <c r="B19" t="s">
        <v>116</v>
      </c>
      <c r="I19" s="7" t="s">
        <v>117</v>
      </c>
      <c r="J19" t="s">
        <v>118</v>
      </c>
      <c r="K19" s="7" t="s">
        <v>119</v>
      </c>
      <c r="L19" s="4">
        <v>28</v>
      </c>
      <c r="M19" s="24">
        <v>41000</v>
      </c>
    </row>
    <row r="20" spans="2:13" ht="14.25" customHeight="1" x14ac:dyDescent="0.2">
      <c r="B20" t="s">
        <v>120</v>
      </c>
      <c r="I20" s="7" t="s">
        <v>121</v>
      </c>
      <c r="J20" t="s">
        <v>122</v>
      </c>
      <c r="K20" s="7" t="s">
        <v>87</v>
      </c>
      <c r="L20" s="4">
        <v>33</v>
      </c>
      <c r="M20" s="24">
        <v>48000</v>
      </c>
    </row>
    <row r="21" spans="2:13" ht="14.25" customHeight="1" x14ac:dyDescent="0.2">
      <c r="B21" t="s">
        <v>123</v>
      </c>
      <c r="I21" s="7" t="s">
        <v>124</v>
      </c>
      <c r="J21" t="s">
        <v>125</v>
      </c>
      <c r="K21" s="7" t="s">
        <v>91</v>
      </c>
      <c r="L21" s="4">
        <v>24</v>
      </c>
      <c r="M21" s="24">
        <v>35000</v>
      </c>
    </row>
    <row r="22" spans="2:13" ht="14.25" customHeight="1" x14ac:dyDescent="0.2">
      <c r="B22" t="s">
        <v>126</v>
      </c>
      <c r="I22" s="7" t="s">
        <v>127</v>
      </c>
      <c r="J22" t="s">
        <v>128</v>
      </c>
      <c r="K22" s="7" t="s">
        <v>95</v>
      </c>
      <c r="L22" s="4">
        <v>41</v>
      </c>
      <c r="M22" s="24">
        <v>65000</v>
      </c>
    </row>
    <row r="23" spans="2:13" ht="14.25" customHeight="1" x14ac:dyDescent="0.2">
      <c r="B23" t="s">
        <v>129</v>
      </c>
      <c r="I23" s="7" t="s">
        <v>130</v>
      </c>
      <c r="J23" t="s">
        <v>131</v>
      </c>
      <c r="K23" s="7" t="s">
        <v>99</v>
      </c>
      <c r="L23" s="4">
        <v>30</v>
      </c>
      <c r="M23" s="24">
        <v>44000</v>
      </c>
    </row>
    <row r="24" spans="2:13" ht="14.25" customHeight="1" x14ac:dyDescent="0.2">
      <c r="B24" t="s">
        <v>132</v>
      </c>
      <c r="I24" s="7" t="s">
        <v>133</v>
      </c>
      <c r="J24" t="s">
        <v>134</v>
      </c>
      <c r="K24" s="7" t="s">
        <v>103</v>
      </c>
      <c r="L24" s="4">
        <v>38</v>
      </c>
      <c r="M24" s="24">
        <v>59000</v>
      </c>
    </row>
    <row r="25" spans="2:13" ht="14.25" customHeight="1" x14ac:dyDescent="0.2">
      <c r="B25" t="s">
        <v>135</v>
      </c>
      <c r="I25" s="7" t="s">
        <v>136</v>
      </c>
      <c r="J25" t="s">
        <v>137</v>
      </c>
      <c r="K25" s="7" t="s">
        <v>107</v>
      </c>
      <c r="L25" s="4">
        <v>26</v>
      </c>
      <c r="M25" s="24">
        <v>39000</v>
      </c>
    </row>
    <row r="26" spans="2:13" ht="14.25" customHeight="1" x14ac:dyDescent="0.2">
      <c r="B26" t="s">
        <v>138</v>
      </c>
      <c r="I26" s="7" t="s">
        <v>139</v>
      </c>
      <c r="J26" t="s">
        <v>140</v>
      </c>
      <c r="K26" s="7" t="s">
        <v>111</v>
      </c>
      <c r="L26" s="4">
        <v>35</v>
      </c>
      <c r="M26" s="24">
        <v>52000</v>
      </c>
    </row>
    <row r="27" spans="2:13" ht="14.25" customHeight="1" x14ac:dyDescent="0.2">
      <c r="B27" t="s">
        <v>141</v>
      </c>
      <c r="I27" s="7" t="s">
        <v>142</v>
      </c>
      <c r="J27" t="s">
        <v>143</v>
      </c>
      <c r="K27" s="7" t="s">
        <v>115</v>
      </c>
      <c r="L27" s="4">
        <v>23</v>
      </c>
      <c r="M27" s="24">
        <v>33000</v>
      </c>
    </row>
    <row r="28" spans="2:13" ht="14.25" customHeight="1" x14ac:dyDescent="0.2">
      <c r="B28" t="s">
        <v>144</v>
      </c>
      <c r="I28" s="7" t="s">
        <v>145</v>
      </c>
      <c r="J28" t="s">
        <v>146</v>
      </c>
      <c r="K28" s="7" t="s">
        <v>119</v>
      </c>
      <c r="L28" s="4">
        <v>37</v>
      </c>
      <c r="M28" s="24">
        <v>56000</v>
      </c>
    </row>
    <row r="29" spans="2:13" ht="14.25" customHeight="1" x14ac:dyDescent="0.2">
      <c r="B29" t="s">
        <v>147</v>
      </c>
      <c r="I29" s="7" t="s">
        <v>148</v>
      </c>
      <c r="J29" t="s">
        <v>149</v>
      </c>
      <c r="K29" s="7" t="s">
        <v>87</v>
      </c>
      <c r="L29" s="4">
        <v>28</v>
      </c>
      <c r="M29" s="24">
        <v>42000</v>
      </c>
    </row>
    <row r="30" spans="2:13" ht="14.25" customHeight="1" x14ac:dyDescent="0.2">
      <c r="B30" t="s">
        <v>150</v>
      </c>
      <c r="I30" s="7" t="s">
        <v>151</v>
      </c>
      <c r="J30" t="s">
        <v>152</v>
      </c>
      <c r="K30" s="7" t="s">
        <v>91</v>
      </c>
      <c r="L30" s="4">
        <v>45</v>
      </c>
      <c r="M30" s="24">
        <v>70000</v>
      </c>
    </row>
    <row r="31" spans="2:13" ht="14.25" customHeight="1" x14ac:dyDescent="0.2">
      <c r="B31" t="s">
        <v>153</v>
      </c>
      <c r="I31" s="7" t="s">
        <v>133</v>
      </c>
      <c r="J31" t="s">
        <v>143</v>
      </c>
      <c r="K31" s="7" t="s">
        <v>95</v>
      </c>
      <c r="L31" s="4">
        <v>32</v>
      </c>
      <c r="M31" s="24">
        <v>47000</v>
      </c>
    </row>
    <row r="32" spans="2:13" ht="14.25" customHeight="1" x14ac:dyDescent="0.2">
      <c r="B32" t="s">
        <v>154</v>
      </c>
      <c r="I32" s="7" t="s">
        <v>155</v>
      </c>
      <c r="J32" t="s">
        <v>156</v>
      </c>
      <c r="K32" s="7" t="s">
        <v>99</v>
      </c>
      <c r="L32" s="4">
        <v>39</v>
      </c>
      <c r="M32" s="24">
        <v>61000</v>
      </c>
    </row>
    <row r="33" spans="2:13" ht="14.25" customHeight="1" x14ac:dyDescent="0.2">
      <c r="B33" t="s">
        <v>157</v>
      </c>
      <c r="I33" s="7" t="s">
        <v>158</v>
      </c>
      <c r="J33" t="s">
        <v>159</v>
      </c>
      <c r="K33" s="7" t="s">
        <v>103</v>
      </c>
      <c r="L33" s="4">
        <v>27</v>
      </c>
      <c r="M33" s="24">
        <v>40000</v>
      </c>
    </row>
    <row r="34" spans="2:13" ht="14.25" customHeight="1" x14ac:dyDescent="0.2">
      <c r="B34" t="s">
        <v>160</v>
      </c>
      <c r="I34" s="7" t="s">
        <v>161</v>
      </c>
      <c r="J34" t="s">
        <v>149</v>
      </c>
      <c r="K34" s="7" t="s">
        <v>107</v>
      </c>
      <c r="L34" s="4">
        <v>36</v>
      </c>
      <c r="M34" s="24">
        <v>55000</v>
      </c>
    </row>
    <row r="35" spans="2:13" ht="14.25" customHeight="1" x14ac:dyDescent="0.2">
      <c r="B35" t="s">
        <v>162</v>
      </c>
      <c r="I35" s="7" t="s">
        <v>163</v>
      </c>
      <c r="J35" t="s">
        <v>164</v>
      </c>
      <c r="K35" s="7" t="s">
        <v>111</v>
      </c>
      <c r="L35" s="4">
        <v>31</v>
      </c>
      <c r="M35" s="24">
        <v>46000</v>
      </c>
    </row>
    <row r="36" spans="2:13" ht="14.25" customHeight="1" x14ac:dyDescent="0.2">
      <c r="B36" t="s">
        <v>165</v>
      </c>
      <c r="I36" s="7" t="s">
        <v>166</v>
      </c>
      <c r="J36" t="s">
        <v>167</v>
      </c>
      <c r="K36" s="7" t="s">
        <v>115</v>
      </c>
      <c r="L36" s="4">
        <v>42</v>
      </c>
      <c r="M36" s="24">
        <v>68000</v>
      </c>
    </row>
    <row r="37" spans="2:13" ht="14.25" customHeight="1" x14ac:dyDescent="0.2">
      <c r="B37" t="s">
        <v>168</v>
      </c>
      <c r="I37" s="7" t="s">
        <v>169</v>
      </c>
      <c r="J37" t="s">
        <v>170</v>
      </c>
      <c r="K37" s="7" t="s">
        <v>119</v>
      </c>
      <c r="L37" s="4">
        <v>26</v>
      </c>
      <c r="M37" s="24">
        <v>38000</v>
      </c>
    </row>
    <row r="38" spans="2:13" ht="14.25" customHeight="1" x14ac:dyDescent="0.2">
      <c r="B38" t="s">
        <v>171</v>
      </c>
      <c r="I38" s="7" t="s">
        <v>172</v>
      </c>
      <c r="J38" t="s">
        <v>173</v>
      </c>
      <c r="K38" s="7" t="s">
        <v>87</v>
      </c>
      <c r="L38" s="4">
        <v>35</v>
      </c>
      <c r="M38" s="24">
        <v>53000</v>
      </c>
    </row>
    <row r="39" spans="2:13" ht="14.25" customHeight="1" x14ac:dyDescent="0.2">
      <c r="B39" t="s">
        <v>174</v>
      </c>
      <c r="I39" s="7" t="s">
        <v>130</v>
      </c>
      <c r="J39" t="s">
        <v>175</v>
      </c>
      <c r="K39" s="7" t="s">
        <v>91</v>
      </c>
      <c r="L39" s="4">
        <v>29</v>
      </c>
      <c r="M39" s="24">
        <v>44000</v>
      </c>
    </row>
    <row r="40" spans="2:13" ht="14.25" customHeight="1" x14ac:dyDescent="0.2">
      <c r="B40" t="s">
        <v>176</v>
      </c>
      <c r="I40" s="7" t="s">
        <v>177</v>
      </c>
      <c r="J40" t="s">
        <v>178</v>
      </c>
      <c r="K40" s="7" t="s">
        <v>95</v>
      </c>
      <c r="L40" s="4">
        <v>41</v>
      </c>
      <c r="M40" s="24">
        <v>64000</v>
      </c>
    </row>
    <row r="41" spans="2:13" ht="14.25" customHeight="1" x14ac:dyDescent="0.2">
      <c r="B41" t="s">
        <v>179</v>
      </c>
      <c r="I41" s="7" t="s">
        <v>85</v>
      </c>
      <c r="J41" t="s">
        <v>180</v>
      </c>
      <c r="K41" s="7" t="s">
        <v>99</v>
      </c>
      <c r="L41" s="4">
        <v>24</v>
      </c>
      <c r="M41" s="24">
        <v>35000</v>
      </c>
    </row>
    <row r="42" spans="2:13" ht="14.25" customHeight="1" x14ac:dyDescent="0.2">
      <c r="B42" t="s">
        <v>181</v>
      </c>
      <c r="I42" s="7" t="s">
        <v>182</v>
      </c>
      <c r="J42" t="s">
        <v>183</v>
      </c>
      <c r="K42" s="7" t="s">
        <v>103</v>
      </c>
      <c r="L42" s="4">
        <v>38</v>
      </c>
      <c r="M42" s="24">
        <v>60000</v>
      </c>
    </row>
    <row r="43" spans="2:13" ht="14.25" customHeight="1" x14ac:dyDescent="0.2">
      <c r="B43" t="s">
        <v>184</v>
      </c>
      <c r="I43" s="7" t="s">
        <v>185</v>
      </c>
      <c r="J43" t="s">
        <v>186</v>
      </c>
      <c r="K43" s="7" t="s">
        <v>107</v>
      </c>
      <c r="L43" s="4">
        <v>27</v>
      </c>
      <c r="M43" s="24">
        <v>41000</v>
      </c>
    </row>
    <row r="44" spans="2:13" ht="14.25" customHeight="1" x14ac:dyDescent="0.2">
      <c r="B44" t="s">
        <v>187</v>
      </c>
      <c r="I44" s="7" t="s">
        <v>188</v>
      </c>
      <c r="J44" t="s">
        <v>189</v>
      </c>
      <c r="K44" s="7" t="s">
        <v>111</v>
      </c>
      <c r="L44" s="4">
        <v>33</v>
      </c>
      <c r="M44" s="24">
        <v>49000</v>
      </c>
    </row>
    <row r="45" spans="2:13" ht="14.25" customHeight="1" x14ac:dyDescent="0.2">
      <c r="B45" t="s">
        <v>190</v>
      </c>
      <c r="I45" s="7" t="s">
        <v>169</v>
      </c>
      <c r="J45" t="s">
        <v>191</v>
      </c>
      <c r="K45" s="7" t="s">
        <v>115</v>
      </c>
      <c r="L45" s="4">
        <v>30</v>
      </c>
      <c r="M45" s="24">
        <v>45000</v>
      </c>
    </row>
    <row r="46" spans="2:13" ht="14.25" customHeight="1" x14ac:dyDescent="0.2">
      <c r="B46" t="s">
        <v>192</v>
      </c>
      <c r="I46" s="7" t="s">
        <v>133</v>
      </c>
      <c r="J46" t="s">
        <v>193</v>
      </c>
      <c r="K46" s="7" t="s">
        <v>119</v>
      </c>
      <c r="L46" s="4">
        <v>37</v>
      </c>
      <c r="M46" s="24">
        <v>57000</v>
      </c>
    </row>
    <row r="47" spans="2:13" ht="14.25" customHeight="1" x14ac:dyDescent="0.2">
      <c r="B47" t="s">
        <v>194</v>
      </c>
      <c r="I47" s="7" t="s">
        <v>130</v>
      </c>
      <c r="J47" t="s">
        <v>195</v>
      </c>
      <c r="K47" s="7" t="s">
        <v>87</v>
      </c>
      <c r="L47" s="4">
        <v>28</v>
      </c>
      <c r="M47" s="24">
        <v>43000</v>
      </c>
    </row>
    <row r="48" spans="2:13" ht="14.25" customHeight="1" x14ac:dyDescent="0.2">
      <c r="B48" t="s">
        <v>196</v>
      </c>
      <c r="I48" s="7" t="s">
        <v>151</v>
      </c>
      <c r="J48" t="s">
        <v>134</v>
      </c>
      <c r="K48" s="7" t="s">
        <v>91</v>
      </c>
      <c r="L48" s="4">
        <v>46</v>
      </c>
      <c r="M48" s="24">
        <v>71000</v>
      </c>
    </row>
    <row r="49" spans="2:13" ht="14.25" customHeight="1" x14ac:dyDescent="0.2">
      <c r="B49" t="s">
        <v>197</v>
      </c>
      <c r="I49" s="7" t="s">
        <v>158</v>
      </c>
      <c r="J49" t="s">
        <v>198</v>
      </c>
      <c r="K49" s="7" t="s">
        <v>95</v>
      </c>
      <c r="L49" s="4">
        <v>25</v>
      </c>
      <c r="M49" s="24">
        <v>36000</v>
      </c>
    </row>
    <row r="50" spans="2:13" ht="14.25" customHeight="1" x14ac:dyDescent="0.2">
      <c r="B50" t="s">
        <v>199</v>
      </c>
      <c r="I50" s="7" t="s">
        <v>200</v>
      </c>
      <c r="J50" t="s">
        <v>201</v>
      </c>
      <c r="K50" s="7" t="s">
        <v>99</v>
      </c>
      <c r="L50" s="4">
        <v>40</v>
      </c>
      <c r="M50" s="24">
        <v>62000</v>
      </c>
    </row>
    <row r="51" spans="2:13" ht="14.25" customHeight="1" x14ac:dyDescent="0.2">
      <c r="B51" t="s">
        <v>202</v>
      </c>
      <c r="I51" s="7" t="s">
        <v>85</v>
      </c>
      <c r="J51" t="s">
        <v>203</v>
      </c>
      <c r="K51" s="7" t="s">
        <v>103</v>
      </c>
      <c r="L51" s="4">
        <v>31</v>
      </c>
      <c r="M51" s="24">
        <v>47000</v>
      </c>
    </row>
    <row r="52" spans="2:13" ht="14.25" customHeight="1" x14ac:dyDescent="0.2">
      <c r="B52" t="s">
        <v>204</v>
      </c>
      <c r="I52" s="7" t="s">
        <v>127</v>
      </c>
      <c r="J52" t="s">
        <v>205</v>
      </c>
      <c r="K52" s="7" t="s">
        <v>107</v>
      </c>
      <c r="L52" s="4">
        <v>34</v>
      </c>
      <c r="M52" s="24">
        <v>52000</v>
      </c>
    </row>
    <row r="53" spans="2:13" ht="14.25" customHeight="1" x14ac:dyDescent="0.2">
      <c r="B53" t="s">
        <v>206</v>
      </c>
      <c r="I53" s="7" t="s">
        <v>207</v>
      </c>
      <c r="J53" t="s">
        <v>208</v>
      </c>
      <c r="K53" s="7" t="s">
        <v>111</v>
      </c>
      <c r="L53" s="4">
        <v>29</v>
      </c>
      <c r="M53" s="24">
        <v>42000</v>
      </c>
    </row>
    <row r="54" spans="2:13" ht="14.25" customHeight="1" x14ac:dyDescent="0.2">
      <c r="B54" t="s">
        <v>209</v>
      </c>
      <c r="I54" s="7" t="s">
        <v>210</v>
      </c>
      <c r="J54" t="s">
        <v>211</v>
      </c>
      <c r="K54" s="7" t="s">
        <v>115</v>
      </c>
      <c r="L54" s="4">
        <v>36</v>
      </c>
      <c r="M54" s="24">
        <v>56000</v>
      </c>
    </row>
    <row r="55" spans="2:13" ht="14.25" customHeight="1" x14ac:dyDescent="0.2">
      <c r="B55" t="s">
        <v>212</v>
      </c>
      <c r="I55" s="7" t="s">
        <v>163</v>
      </c>
      <c r="J55" t="s">
        <v>213</v>
      </c>
      <c r="K55" s="7" t="s">
        <v>119</v>
      </c>
      <c r="L55" s="4">
        <v>23</v>
      </c>
      <c r="M55" s="24">
        <v>34000</v>
      </c>
    </row>
    <row r="56" spans="2:13" ht="14.25" customHeight="1" x14ac:dyDescent="0.2">
      <c r="B56" t="s">
        <v>214</v>
      </c>
      <c r="I56" s="7" t="s">
        <v>121</v>
      </c>
      <c r="J56" t="s">
        <v>215</v>
      </c>
      <c r="K56" s="7" t="s">
        <v>87</v>
      </c>
      <c r="L56" s="4">
        <v>39</v>
      </c>
      <c r="M56" s="24">
        <v>61000</v>
      </c>
    </row>
    <row r="57" spans="2:13" ht="14.25" customHeight="1" x14ac:dyDescent="0.2">
      <c r="B57" t="s">
        <v>216</v>
      </c>
      <c r="I57" s="7" t="s">
        <v>169</v>
      </c>
      <c r="J57" t="s">
        <v>217</v>
      </c>
      <c r="K57" s="7" t="s">
        <v>91</v>
      </c>
      <c r="L57" s="4">
        <v>32</v>
      </c>
      <c r="M57" s="24">
        <v>48000</v>
      </c>
    </row>
    <row r="58" spans="2:13" ht="14.25" customHeight="1" x14ac:dyDescent="0.2">
      <c r="B58" t="s">
        <v>218</v>
      </c>
      <c r="I58" s="7" t="s">
        <v>139</v>
      </c>
      <c r="J58" t="s">
        <v>219</v>
      </c>
      <c r="K58" s="7" t="s">
        <v>95</v>
      </c>
      <c r="L58" s="4">
        <v>41</v>
      </c>
      <c r="M58" s="24">
        <v>65000</v>
      </c>
    </row>
    <row r="59" spans="2:13" ht="14.25" customHeight="1" x14ac:dyDescent="0.2">
      <c r="B59" t="s">
        <v>220</v>
      </c>
      <c r="I59" s="7" t="s">
        <v>221</v>
      </c>
      <c r="J59" t="s">
        <v>222</v>
      </c>
      <c r="K59" s="7" t="s">
        <v>99</v>
      </c>
      <c r="L59" s="4">
        <v>27</v>
      </c>
      <c r="M59" s="24">
        <v>40000</v>
      </c>
    </row>
    <row r="60" spans="2:13" ht="14.25" customHeight="1" x14ac:dyDescent="0.2">
      <c r="B60" t="s">
        <v>223</v>
      </c>
      <c r="I60" s="9" t="s">
        <v>172</v>
      </c>
      <c r="J60" s="32" t="s">
        <v>224</v>
      </c>
      <c r="K60" s="9" t="s">
        <v>103</v>
      </c>
      <c r="L60" s="33">
        <v>35</v>
      </c>
      <c r="M60" s="29">
        <v>54000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58E7-3BC8-47FB-AF43-50849726396D}">
  <dimension ref="B1:F15"/>
  <sheetViews>
    <sheetView showGridLines="0" zoomScaleNormal="100" workbookViewId="0">
      <selection activeCell="E11" sqref="E11"/>
    </sheetView>
  </sheetViews>
  <sheetFormatPr baseColWidth="10" defaultColWidth="8.6640625" defaultRowHeight="15" x14ac:dyDescent="0.2"/>
  <cols>
    <col min="1" max="1" width="32" style="91" customWidth="1"/>
    <col min="2" max="2" width="79.33203125" style="91" bestFit="1" customWidth="1"/>
    <col min="3" max="3" width="31.33203125" style="91" customWidth="1"/>
    <col min="4" max="4" width="64.33203125" style="91" bestFit="1" customWidth="1"/>
    <col min="5" max="5" width="10.5" style="91" bestFit="1" customWidth="1"/>
    <col min="6" max="16384" width="8.6640625" style="91"/>
  </cols>
  <sheetData>
    <row r="1" spans="2:6" ht="36" customHeight="1" x14ac:dyDescent="0.2"/>
    <row r="2" spans="2:6" ht="31.5" customHeight="1" x14ac:dyDescent="0.2">
      <c r="B2" s="126" t="s">
        <v>506</v>
      </c>
      <c r="C2" s="92"/>
      <c r="D2" s="127" t="s">
        <v>501</v>
      </c>
      <c r="E2" s="131"/>
      <c r="F2" s="93"/>
    </row>
    <row r="3" spans="2:6" ht="26.5" customHeight="1" x14ac:dyDescent="0.2">
      <c r="B3" s="94" t="s">
        <v>407</v>
      </c>
      <c r="C3" s="95"/>
      <c r="D3" s="134" t="s">
        <v>408</v>
      </c>
      <c r="E3" s="135"/>
      <c r="F3" s="96"/>
    </row>
    <row r="4" spans="2:6" ht="19.5" customHeight="1" x14ac:dyDescent="0.2">
      <c r="B4" s="97" t="s">
        <v>409</v>
      </c>
      <c r="C4" s="95"/>
      <c r="D4" s="128" t="s">
        <v>410</v>
      </c>
      <c r="E4" s="132"/>
    </row>
    <row r="5" spans="2:6" ht="19.5" customHeight="1" x14ac:dyDescent="0.2">
      <c r="B5" s="97" t="s">
        <v>411</v>
      </c>
      <c r="C5" s="95"/>
      <c r="D5" s="98" t="s">
        <v>412</v>
      </c>
      <c r="E5" s="99">
        <v>3.5</v>
      </c>
    </row>
    <row r="6" spans="2:6" ht="19.5" customHeight="1" x14ac:dyDescent="0.2">
      <c r="B6" s="97" t="s">
        <v>413</v>
      </c>
      <c r="C6" s="95"/>
      <c r="D6" s="98" t="s">
        <v>414</v>
      </c>
      <c r="E6" s="99">
        <v>1.2</v>
      </c>
    </row>
    <row r="7" spans="2:6" ht="19.5" customHeight="1" x14ac:dyDescent="0.2">
      <c r="B7" s="97" t="s">
        <v>415</v>
      </c>
      <c r="C7" s="95"/>
      <c r="D7" s="98" t="s">
        <v>416</v>
      </c>
      <c r="E7" s="99">
        <v>2800</v>
      </c>
    </row>
    <row r="8" spans="2:6" ht="16" x14ac:dyDescent="0.2">
      <c r="B8" s="100" t="s">
        <v>417</v>
      </c>
      <c r="D8" s="101" t="s">
        <v>418</v>
      </c>
      <c r="E8" s="102">
        <v>25</v>
      </c>
    </row>
    <row r="9" spans="2:6" ht="19.5" customHeight="1" x14ac:dyDescent="0.2">
      <c r="D9" s="129" t="s">
        <v>419</v>
      </c>
      <c r="E9" s="133"/>
    </row>
    <row r="10" spans="2:6" ht="19.5" customHeight="1" x14ac:dyDescent="0.2">
      <c r="D10" s="103" t="s">
        <v>420</v>
      </c>
      <c r="E10" s="104"/>
    </row>
    <row r="11" spans="2:6" ht="19.5" customHeight="1" x14ac:dyDescent="0.2">
      <c r="D11" s="98" t="s">
        <v>421</v>
      </c>
      <c r="E11" s="105"/>
    </row>
    <row r="12" spans="2:6" ht="19.5" customHeight="1" x14ac:dyDescent="0.2">
      <c r="D12" s="98" t="s">
        <v>422</v>
      </c>
      <c r="E12" s="106"/>
    </row>
    <row r="13" spans="2:6" ht="19.5" customHeight="1" x14ac:dyDescent="0.2">
      <c r="D13" s="98" t="s">
        <v>423</v>
      </c>
      <c r="E13" s="106"/>
    </row>
    <row r="14" spans="2:6" ht="19.5" customHeight="1" x14ac:dyDescent="0.2">
      <c r="D14" s="98" t="s">
        <v>424</v>
      </c>
      <c r="E14" s="106"/>
    </row>
    <row r="15" spans="2:6" x14ac:dyDescent="0.2">
      <c r="D15" s="107" t="s">
        <v>425</v>
      </c>
      <c r="E15" s="108">
        <f>E13-E14-E7</f>
        <v>-2800</v>
      </c>
    </row>
  </sheetData>
  <mergeCells count="1">
    <mergeCell ref="D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F8A6-41F6-47EA-BA98-67EE34C941A3}">
  <dimension ref="B1:M40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5" style="91" customWidth="1"/>
    <col min="2" max="2" width="49.1640625" style="91" bestFit="1" customWidth="1"/>
    <col min="3" max="3" width="16" style="91" customWidth="1"/>
    <col min="4" max="4" width="3" style="91" bestFit="1" customWidth="1"/>
    <col min="5" max="5" width="9.83203125" style="91" bestFit="1" customWidth="1"/>
    <col min="6" max="6" width="11.5" style="91" bestFit="1" customWidth="1"/>
    <col min="7" max="7" width="3" style="91" bestFit="1" customWidth="1"/>
    <col min="8" max="8" width="9.83203125" style="91" bestFit="1" customWidth="1"/>
    <col min="9" max="9" width="11.5" style="91" bestFit="1" customWidth="1"/>
    <col min="10" max="10" width="11.1640625" style="91" bestFit="1" customWidth="1"/>
    <col min="11" max="11" width="31.5" style="91" bestFit="1" customWidth="1"/>
    <col min="12" max="12" width="11.1640625" style="91" bestFit="1" customWidth="1"/>
    <col min="13" max="13" width="7.1640625" style="91" bestFit="1" customWidth="1"/>
    <col min="14" max="14" width="8" style="91" bestFit="1" customWidth="1"/>
    <col min="15" max="16384" width="8.6640625" style="91"/>
  </cols>
  <sheetData>
    <row r="1" spans="2:13" ht="36" customHeight="1" x14ac:dyDescent="0.2"/>
    <row r="2" spans="2:13" x14ac:dyDescent="0.2">
      <c r="B2" s="109" t="s">
        <v>505</v>
      </c>
    </row>
    <row r="3" spans="2:13" x14ac:dyDescent="0.2">
      <c r="B3" s="110" t="s">
        <v>426</v>
      </c>
    </row>
    <row r="4" spans="2:13" x14ac:dyDescent="0.2">
      <c r="B4" s="110" t="s">
        <v>427</v>
      </c>
      <c r="G4" s="111" t="s">
        <v>428</v>
      </c>
      <c r="H4" s="111" t="s">
        <v>79</v>
      </c>
      <c r="I4" s="111" t="s">
        <v>80</v>
      </c>
      <c r="J4" s="111" t="s">
        <v>429</v>
      </c>
      <c r="K4" s="111" t="s">
        <v>430</v>
      </c>
      <c r="L4" s="111" t="s">
        <v>431</v>
      </c>
      <c r="M4" s="111" t="s">
        <v>432</v>
      </c>
    </row>
    <row r="5" spans="2:13" x14ac:dyDescent="0.2">
      <c r="B5" s="110" t="s">
        <v>433</v>
      </c>
      <c r="G5" s="112">
        <v>1</v>
      </c>
      <c r="H5" s="113" t="s">
        <v>85</v>
      </c>
      <c r="I5" s="113" t="s">
        <v>434</v>
      </c>
      <c r="J5" s="112" t="s">
        <v>435</v>
      </c>
      <c r="K5" s="114" t="s">
        <v>436</v>
      </c>
      <c r="L5" s="115">
        <v>245.5</v>
      </c>
      <c r="M5" s="112" t="s">
        <v>437</v>
      </c>
    </row>
    <row r="6" spans="2:13" x14ac:dyDescent="0.2">
      <c r="B6" s="110" t="s">
        <v>438</v>
      </c>
      <c r="G6" s="112"/>
      <c r="H6" s="113"/>
      <c r="I6" s="113"/>
      <c r="J6" s="112"/>
      <c r="K6" s="114"/>
      <c r="L6" s="115"/>
      <c r="M6" s="112"/>
    </row>
    <row r="7" spans="2:13" x14ac:dyDescent="0.2">
      <c r="B7" s="116" t="s">
        <v>439</v>
      </c>
      <c r="G7" s="117">
        <v>2</v>
      </c>
      <c r="H7" s="118" t="s">
        <v>440</v>
      </c>
      <c r="I7" s="118" t="s">
        <v>441</v>
      </c>
      <c r="J7" s="117" t="s">
        <v>442</v>
      </c>
      <c r="K7" s="118" t="s">
        <v>443</v>
      </c>
      <c r="L7" s="119">
        <v>89</v>
      </c>
      <c r="M7" s="117" t="s">
        <v>444</v>
      </c>
    </row>
    <row r="8" spans="2:13" ht="18.75" customHeight="1" x14ac:dyDescent="0.2">
      <c r="G8" s="117"/>
      <c r="H8" s="118"/>
      <c r="I8" s="118"/>
      <c r="J8" s="117"/>
      <c r="K8" s="118"/>
      <c r="L8" s="119"/>
      <c r="M8" s="117"/>
    </row>
    <row r="9" spans="2:13" ht="18.75" customHeight="1" x14ac:dyDescent="0.2">
      <c r="G9" s="117"/>
      <c r="H9" s="118"/>
      <c r="I9" s="118"/>
      <c r="J9" s="117"/>
      <c r="K9" s="118"/>
      <c r="L9" s="119"/>
      <c r="M9" s="117"/>
    </row>
    <row r="10" spans="2:13" ht="18.75" customHeight="1" x14ac:dyDescent="0.2">
      <c r="G10" s="112">
        <v>3</v>
      </c>
      <c r="H10" s="113" t="s">
        <v>445</v>
      </c>
      <c r="I10" s="113" t="s">
        <v>98</v>
      </c>
      <c r="J10" s="120" t="s">
        <v>446</v>
      </c>
      <c r="K10" s="113" t="s">
        <v>447</v>
      </c>
      <c r="L10" s="121" t="s">
        <v>448</v>
      </c>
      <c r="M10" s="122" t="s">
        <v>448</v>
      </c>
    </row>
    <row r="11" spans="2:13" ht="18.75" customHeight="1" x14ac:dyDescent="0.2">
      <c r="G11" s="112"/>
      <c r="H11" s="113"/>
      <c r="I11" s="113"/>
      <c r="J11" s="120"/>
      <c r="K11" s="113"/>
      <c r="L11" s="121"/>
      <c r="M11" s="112"/>
    </row>
    <row r="12" spans="2:13" ht="18.75" customHeight="1" x14ac:dyDescent="0.2">
      <c r="G12" s="112"/>
      <c r="H12" s="113"/>
      <c r="I12" s="113"/>
      <c r="J12" s="120"/>
      <c r="K12" s="113"/>
      <c r="L12" s="121"/>
      <c r="M12" s="112"/>
    </row>
    <row r="13" spans="2:13" ht="18.75" customHeight="1" x14ac:dyDescent="0.2">
      <c r="G13" s="117">
        <v>4</v>
      </c>
      <c r="H13" s="118" t="s">
        <v>449</v>
      </c>
      <c r="I13" s="118" t="s">
        <v>152</v>
      </c>
      <c r="J13" s="117" t="s">
        <v>450</v>
      </c>
      <c r="K13" s="123" t="s">
        <v>451</v>
      </c>
      <c r="L13" s="119">
        <v>312</v>
      </c>
      <c r="M13" s="124" t="s">
        <v>444</v>
      </c>
    </row>
    <row r="14" spans="2:13" ht="18.75" customHeight="1" x14ac:dyDescent="0.2">
      <c r="G14" s="117"/>
      <c r="H14" s="118"/>
      <c r="I14" s="118"/>
      <c r="J14" s="117"/>
      <c r="K14" s="123"/>
      <c r="L14" s="119"/>
      <c r="M14" s="117"/>
    </row>
    <row r="15" spans="2:13" ht="18.75" customHeight="1" x14ac:dyDescent="0.2">
      <c r="G15" s="112">
        <v>5</v>
      </c>
      <c r="H15" s="113" t="s">
        <v>452</v>
      </c>
      <c r="I15" s="113" t="s">
        <v>118</v>
      </c>
      <c r="J15" s="112" t="s">
        <v>453</v>
      </c>
      <c r="K15" s="113" t="s">
        <v>454</v>
      </c>
      <c r="L15" s="112"/>
      <c r="M15" s="112" t="s">
        <v>437</v>
      </c>
    </row>
    <row r="16" spans="2:13" ht="18.75" customHeight="1" x14ac:dyDescent="0.2">
      <c r="G16" s="117">
        <v>6</v>
      </c>
      <c r="H16" s="118" t="s">
        <v>211</v>
      </c>
      <c r="I16" s="118" t="s">
        <v>114</v>
      </c>
      <c r="J16" s="117" t="s">
        <v>455</v>
      </c>
      <c r="K16" s="118" t="s">
        <v>456</v>
      </c>
      <c r="L16" s="119">
        <v>56.75</v>
      </c>
      <c r="M16" s="122" t="s">
        <v>448</v>
      </c>
    </row>
    <row r="17" spans="7:13" ht="18.75" customHeight="1" x14ac:dyDescent="0.2">
      <c r="G17" s="112">
        <v>7</v>
      </c>
      <c r="H17" s="113" t="s">
        <v>457</v>
      </c>
      <c r="I17" s="113" t="s">
        <v>122</v>
      </c>
      <c r="J17" s="120" t="s">
        <v>458</v>
      </c>
      <c r="K17" s="114" t="s">
        <v>459</v>
      </c>
      <c r="L17" s="115">
        <v>430.2</v>
      </c>
      <c r="M17" s="112" t="s">
        <v>437</v>
      </c>
    </row>
    <row r="18" spans="7:13" ht="18.75" customHeight="1" x14ac:dyDescent="0.2">
      <c r="G18" s="112"/>
      <c r="H18" s="113"/>
      <c r="I18" s="113"/>
      <c r="J18" s="120"/>
      <c r="K18" s="114"/>
      <c r="L18" s="115"/>
      <c r="M18" s="112"/>
    </row>
    <row r="19" spans="7:13" ht="18.75" customHeight="1" x14ac:dyDescent="0.2">
      <c r="G19" s="112"/>
      <c r="H19" s="113"/>
      <c r="I19" s="113"/>
      <c r="J19" s="120"/>
      <c r="K19" s="114"/>
      <c r="L19" s="115"/>
      <c r="M19" s="112"/>
    </row>
    <row r="20" spans="7:13" ht="18.75" customHeight="1" x14ac:dyDescent="0.2">
      <c r="G20" s="112"/>
      <c r="H20" s="113"/>
      <c r="I20" s="113"/>
      <c r="J20" s="120"/>
      <c r="K20" s="114"/>
      <c r="L20" s="115"/>
      <c r="M20" s="112"/>
    </row>
    <row r="21" spans="7:13" ht="18.75" customHeight="1" x14ac:dyDescent="0.2">
      <c r="G21" s="117">
        <v>8</v>
      </c>
      <c r="H21" s="118" t="s">
        <v>460</v>
      </c>
      <c r="I21" s="118" t="s">
        <v>125</v>
      </c>
      <c r="J21" s="117" t="s">
        <v>461</v>
      </c>
      <c r="K21" s="118" t="s">
        <v>462</v>
      </c>
      <c r="L21" s="125" t="s">
        <v>448</v>
      </c>
      <c r="M21" s="122" t="s">
        <v>448</v>
      </c>
    </row>
    <row r="22" spans="7:13" ht="18.75" customHeight="1" x14ac:dyDescent="0.2">
      <c r="G22" s="112">
        <v>9</v>
      </c>
      <c r="H22" s="113" t="s">
        <v>463</v>
      </c>
      <c r="I22" s="113" t="s">
        <v>128</v>
      </c>
      <c r="J22" s="112" t="s">
        <v>464</v>
      </c>
      <c r="K22" s="114" t="s">
        <v>465</v>
      </c>
      <c r="L22" s="115">
        <v>210</v>
      </c>
      <c r="M22" s="112" t="s">
        <v>437</v>
      </c>
    </row>
    <row r="23" spans="7:13" ht="18.75" customHeight="1" x14ac:dyDescent="0.2">
      <c r="G23" s="112"/>
      <c r="H23" s="113"/>
      <c r="I23" s="113"/>
      <c r="J23" s="112"/>
      <c r="K23" s="114"/>
      <c r="L23" s="115"/>
      <c r="M23" s="112"/>
    </row>
    <row r="24" spans="7:13" ht="18.75" customHeight="1" x14ac:dyDescent="0.2">
      <c r="G24" s="112"/>
      <c r="H24" s="113"/>
      <c r="I24" s="113"/>
      <c r="J24" s="112"/>
      <c r="K24" s="114"/>
      <c r="L24" s="115"/>
      <c r="M24" s="112"/>
    </row>
    <row r="25" spans="7:13" ht="18.75" customHeight="1" x14ac:dyDescent="0.2">
      <c r="G25" s="117">
        <v>10</v>
      </c>
      <c r="H25" s="118" t="s">
        <v>466</v>
      </c>
      <c r="I25" s="118" t="s">
        <v>134</v>
      </c>
      <c r="J25" s="117" t="s">
        <v>467</v>
      </c>
      <c r="K25" s="123" t="s">
        <v>468</v>
      </c>
      <c r="L25" s="117"/>
      <c r="M25" s="117" t="s">
        <v>444</v>
      </c>
    </row>
    <row r="26" spans="7:13" ht="18.75" customHeight="1" x14ac:dyDescent="0.2">
      <c r="G26" s="117"/>
      <c r="H26" s="118"/>
      <c r="I26" s="118"/>
      <c r="J26" s="117"/>
      <c r="K26" s="123"/>
      <c r="L26" s="117"/>
      <c r="M26" s="117"/>
    </row>
    <row r="27" spans="7:13" ht="18.75" customHeight="1" x14ac:dyDescent="0.2">
      <c r="G27" s="112">
        <v>11</v>
      </c>
      <c r="H27" s="113" t="s">
        <v>469</v>
      </c>
      <c r="I27" s="113" t="s">
        <v>137</v>
      </c>
      <c r="J27" s="120" t="s">
        <v>470</v>
      </c>
      <c r="K27" s="114" t="s">
        <v>471</v>
      </c>
      <c r="L27" s="115">
        <v>175.3</v>
      </c>
      <c r="M27" s="122" t="s">
        <v>448</v>
      </c>
    </row>
    <row r="28" spans="7:13" x14ac:dyDescent="0.2">
      <c r="G28" s="117">
        <v>12</v>
      </c>
      <c r="H28" s="118" t="s">
        <v>200</v>
      </c>
      <c r="I28" s="118" t="s">
        <v>140</v>
      </c>
      <c r="J28" s="117" t="s">
        <v>472</v>
      </c>
      <c r="K28" s="123" t="s">
        <v>473</v>
      </c>
      <c r="L28" s="119">
        <v>620</v>
      </c>
      <c r="M28" s="117" t="s">
        <v>474</v>
      </c>
    </row>
    <row r="29" spans="7:13" ht="24" customHeight="1" x14ac:dyDescent="0.2"/>
    <row r="30" spans="7:13" ht="21.75" customHeight="1" x14ac:dyDescent="0.2"/>
    <row r="32" spans="7:13" ht="29.5" customHeight="1" x14ac:dyDescent="0.2"/>
    <row r="34" ht="28.25" customHeight="1" x14ac:dyDescent="0.2"/>
    <row r="36" ht="31.25" customHeight="1" x14ac:dyDescent="0.2"/>
    <row r="38" ht="26.5" customHeight="1" x14ac:dyDescent="0.2"/>
    <row r="40" ht="23.5" customHeight="1" x14ac:dyDescent="0.2"/>
  </sheetData>
  <hyperlinks>
    <hyperlink ref="K5" r:id="rId1" xr:uid="{F00A4078-F67E-4AFB-B789-A7F86FCA0232}"/>
    <hyperlink ref="K13" r:id="rId2" xr:uid="{92C776A1-0255-430C-A709-D313FBA9660B}"/>
    <hyperlink ref="K17" r:id="rId3" xr:uid="{DD163F87-6FB3-409B-B66F-AE54CCD73DAC}"/>
    <hyperlink ref="K22" r:id="rId4" xr:uid="{4F9ADE63-2853-4D50-849E-4892FF4E4597}"/>
    <hyperlink ref="K25" r:id="rId5" xr:uid="{7034621A-50FB-4402-B6EE-8C970BB95B2E}"/>
    <hyperlink ref="K27" r:id="rId6" xr:uid="{C8C825DC-EC01-44CF-9608-E31652DB4239}"/>
    <hyperlink ref="K28" r:id="rId7" xr:uid="{758371DE-B16E-495C-BF27-6ECEBB4B811E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56"/>
  <sheetViews>
    <sheetView showGridLines="0" zoomScaleNormal="100" workbookViewId="0">
      <selection activeCell="B4" sqref="B4"/>
    </sheetView>
  </sheetViews>
  <sheetFormatPr baseColWidth="10" defaultColWidth="8.5" defaultRowHeight="15" x14ac:dyDescent="0.2"/>
  <cols>
    <col min="2" max="2" width="93.33203125" bestFit="1" customWidth="1"/>
    <col min="4" max="4" width="8.33203125" customWidth="1"/>
    <col min="5" max="5" width="10.5" customWidth="1"/>
    <col min="6" max="6" width="8.83203125" customWidth="1"/>
    <col min="7" max="7" width="7.6640625" customWidth="1"/>
    <col min="8" max="8" width="10.1640625" customWidth="1"/>
    <col min="9" max="9" width="6.83203125" customWidth="1"/>
    <col min="10" max="11" width="11.5" customWidth="1"/>
    <col min="12" max="12" width="13.83203125" customWidth="1"/>
    <col min="13" max="13" width="11.5" customWidth="1"/>
    <col min="14" max="15" width="7.6640625" customWidth="1"/>
    <col min="16" max="16" width="9.1640625" customWidth="1"/>
    <col min="17" max="17" width="6.83203125" customWidth="1"/>
    <col min="18" max="19" width="11.5" customWidth="1"/>
    <col min="20" max="20" width="13.83203125" customWidth="1"/>
    <col min="21" max="21" width="11.5" customWidth="1"/>
    <col min="22" max="22" width="9.5" customWidth="1"/>
    <col min="23" max="23" width="9.1640625" customWidth="1"/>
    <col min="25" max="25" width="8" customWidth="1"/>
  </cols>
  <sheetData>
    <row r="2" spans="2:25" x14ac:dyDescent="0.2">
      <c r="B2" s="2" t="s">
        <v>322</v>
      </c>
    </row>
    <row r="3" spans="2:25" x14ac:dyDescent="0.2">
      <c r="B3" s="5" t="s">
        <v>323</v>
      </c>
    </row>
    <row r="4" spans="2:25" x14ac:dyDescent="0.2">
      <c r="B4" s="9" t="s">
        <v>504</v>
      </c>
    </row>
    <row r="10" spans="2:25" ht="14.25" customHeight="1" x14ac:dyDescent="0.2"/>
    <row r="11" spans="2:25" ht="14.25" customHeight="1" x14ac:dyDescent="0.2">
      <c r="C11" t="s">
        <v>324</v>
      </c>
      <c r="D11" t="s">
        <v>325</v>
      </c>
      <c r="E11" t="s">
        <v>326</v>
      </c>
      <c r="F11" t="s">
        <v>327</v>
      </c>
      <c r="G11" t="s">
        <v>328</v>
      </c>
      <c r="H11" t="s">
        <v>329</v>
      </c>
      <c r="I11" t="s">
        <v>330</v>
      </c>
      <c r="J11" t="s">
        <v>331</v>
      </c>
      <c r="K11" t="s">
        <v>332</v>
      </c>
      <c r="L11" t="s">
        <v>333</v>
      </c>
      <c r="M11" t="s">
        <v>334</v>
      </c>
      <c r="O11" s="3" t="s">
        <v>324</v>
      </c>
      <c r="P11" s="3" t="s">
        <v>325</v>
      </c>
      <c r="Q11" s="3" t="s">
        <v>326</v>
      </c>
      <c r="R11" s="3" t="s">
        <v>327</v>
      </c>
      <c r="S11" s="3" t="s">
        <v>328</v>
      </c>
      <c r="T11" s="3" t="s">
        <v>329</v>
      </c>
      <c r="U11" s="3" t="s">
        <v>330</v>
      </c>
      <c r="V11" s="3" t="s">
        <v>331</v>
      </c>
      <c r="W11" s="3" t="s">
        <v>332</v>
      </c>
      <c r="X11" s="3" t="s">
        <v>333</v>
      </c>
      <c r="Y11" s="49" t="s">
        <v>334</v>
      </c>
    </row>
    <row r="12" spans="2:25" ht="14.25" customHeight="1" x14ac:dyDescent="0.2">
      <c r="C12">
        <v>10001</v>
      </c>
      <c r="D12" s="50">
        <v>45660</v>
      </c>
      <c r="E12" t="s">
        <v>335</v>
      </c>
      <c r="H12" t="s">
        <v>336</v>
      </c>
      <c r="I12" t="s">
        <v>85</v>
      </c>
      <c r="J12">
        <v>3</v>
      </c>
      <c r="K12">
        <v>1200</v>
      </c>
      <c r="L12" t="s">
        <v>337</v>
      </c>
      <c r="M12">
        <v>3240</v>
      </c>
      <c r="O12" s="51">
        <v>10001</v>
      </c>
      <c r="P12" s="52">
        <v>45660</v>
      </c>
      <c r="Q12" s="53" t="s">
        <v>335</v>
      </c>
      <c r="R12" s="5" t="s">
        <v>338</v>
      </c>
      <c r="S12" s="53" t="s">
        <v>338</v>
      </c>
      <c r="T12" s="6" t="s">
        <v>339</v>
      </c>
      <c r="U12" s="53" t="s">
        <v>85</v>
      </c>
      <c r="V12" s="6">
        <v>3</v>
      </c>
      <c r="W12" s="54">
        <v>1200</v>
      </c>
      <c r="X12" s="55">
        <v>0.1</v>
      </c>
      <c r="Y12" s="22">
        <f t="shared" ref="Y12:Y31" si="0">V12*W12*(1-X12)</f>
        <v>3240</v>
      </c>
    </row>
    <row r="13" spans="2:25" ht="14.25" customHeight="1" x14ac:dyDescent="0.2">
      <c r="C13">
        <v>10002</v>
      </c>
      <c r="D13" s="50">
        <v>45662</v>
      </c>
      <c r="E13" t="s">
        <v>340</v>
      </c>
      <c r="H13" t="s">
        <v>341</v>
      </c>
      <c r="I13" t="s">
        <v>113</v>
      </c>
      <c r="J13">
        <v>2</v>
      </c>
      <c r="K13">
        <v>400</v>
      </c>
      <c r="L13" t="s">
        <v>342</v>
      </c>
      <c r="M13">
        <v>760</v>
      </c>
      <c r="O13" s="56">
        <v>10002</v>
      </c>
      <c r="P13" s="57">
        <v>45662</v>
      </c>
      <c r="Q13" s="4" t="s">
        <v>340</v>
      </c>
      <c r="R13" s="7" t="s">
        <v>343</v>
      </c>
      <c r="S13" s="4" t="s">
        <v>343</v>
      </c>
      <c r="T13" s="8" t="s">
        <v>344</v>
      </c>
      <c r="U13" s="4" t="s">
        <v>113</v>
      </c>
      <c r="V13" s="8">
        <v>2</v>
      </c>
      <c r="W13" s="31">
        <v>400</v>
      </c>
      <c r="X13" s="58">
        <v>0.05</v>
      </c>
      <c r="Y13" s="24">
        <f t="shared" si="0"/>
        <v>760</v>
      </c>
    </row>
    <row r="14" spans="2:25" ht="14.25" customHeight="1" x14ac:dyDescent="0.2">
      <c r="C14">
        <v>10003</v>
      </c>
      <c r="D14" s="50">
        <v>45664</v>
      </c>
      <c r="E14" t="s">
        <v>345</v>
      </c>
      <c r="H14" t="s">
        <v>346</v>
      </c>
      <c r="I14" t="s">
        <v>148</v>
      </c>
      <c r="J14">
        <v>15</v>
      </c>
      <c r="K14">
        <v>10</v>
      </c>
      <c r="L14">
        <v>0</v>
      </c>
      <c r="M14">
        <v>150</v>
      </c>
      <c r="O14" s="56">
        <v>10003</v>
      </c>
      <c r="P14" s="57">
        <v>45664</v>
      </c>
      <c r="Q14" s="4" t="s">
        <v>345</v>
      </c>
      <c r="R14" s="7" t="s">
        <v>347</v>
      </c>
      <c r="S14" s="4" t="s">
        <v>347</v>
      </c>
      <c r="T14" s="8" t="s">
        <v>348</v>
      </c>
      <c r="U14" s="4" t="s">
        <v>148</v>
      </c>
      <c r="V14" s="8">
        <v>15</v>
      </c>
      <c r="W14" s="31">
        <v>10</v>
      </c>
      <c r="X14" s="58">
        <v>0</v>
      </c>
      <c r="Y14" s="24">
        <f t="shared" si="0"/>
        <v>150</v>
      </c>
    </row>
    <row r="15" spans="2:25" ht="14.25" customHeight="1" x14ac:dyDescent="0.2">
      <c r="C15">
        <v>10004</v>
      </c>
      <c r="D15" s="50">
        <v>45665</v>
      </c>
      <c r="E15" t="s">
        <v>349</v>
      </c>
      <c r="H15" t="s">
        <v>350</v>
      </c>
      <c r="I15" t="s">
        <v>139</v>
      </c>
      <c r="J15">
        <v>4</v>
      </c>
      <c r="K15">
        <v>300</v>
      </c>
      <c r="L15" t="s">
        <v>337</v>
      </c>
      <c r="M15">
        <v>1080</v>
      </c>
      <c r="O15" s="56">
        <v>10004</v>
      </c>
      <c r="P15" s="57">
        <v>45665</v>
      </c>
      <c r="Q15" s="4" t="s">
        <v>349</v>
      </c>
      <c r="R15" s="7" t="s">
        <v>351</v>
      </c>
      <c r="S15" s="4" t="s">
        <v>351</v>
      </c>
      <c r="T15" s="8" t="s">
        <v>339</v>
      </c>
      <c r="U15" s="4" t="s">
        <v>139</v>
      </c>
      <c r="V15" s="8">
        <v>4</v>
      </c>
      <c r="W15" s="31">
        <v>300</v>
      </c>
      <c r="X15" s="58">
        <v>0.1</v>
      </c>
      <c r="Y15" s="24">
        <f t="shared" si="0"/>
        <v>1080</v>
      </c>
    </row>
    <row r="16" spans="2:25" ht="14.25" customHeight="1" x14ac:dyDescent="0.2">
      <c r="C16">
        <v>10005</v>
      </c>
      <c r="D16" s="50">
        <v>45667</v>
      </c>
      <c r="E16" t="s">
        <v>335</v>
      </c>
      <c r="H16" t="s">
        <v>352</v>
      </c>
      <c r="I16" t="s">
        <v>353</v>
      </c>
      <c r="J16">
        <v>5</v>
      </c>
      <c r="K16">
        <v>250</v>
      </c>
      <c r="L16" t="s">
        <v>342</v>
      </c>
      <c r="M16" t="s">
        <v>354</v>
      </c>
      <c r="O16" s="56">
        <v>10005</v>
      </c>
      <c r="P16" s="57">
        <v>45667</v>
      </c>
      <c r="Q16" s="4" t="s">
        <v>335</v>
      </c>
      <c r="R16" s="7" t="s">
        <v>355</v>
      </c>
      <c r="S16" s="4" t="s">
        <v>355</v>
      </c>
      <c r="T16" s="8" t="s">
        <v>344</v>
      </c>
      <c r="U16" s="4" t="s">
        <v>353</v>
      </c>
      <c r="V16" s="8">
        <v>5</v>
      </c>
      <c r="W16" s="31">
        <v>250</v>
      </c>
      <c r="X16" s="58">
        <v>0.05</v>
      </c>
      <c r="Y16" s="24">
        <f t="shared" si="0"/>
        <v>1187.5</v>
      </c>
    </row>
    <row r="17" spans="3:25" ht="14.25" customHeight="1" x14ac:dyDescent="0.2">
      <c r="C17">
        <v>10006</v>
      </c>
      <c r="D17" s="50">
        <v>45669</v>
      </c>
      <c r="E17" t="s">
        <v>340</v>
      </c>
      <c r="H17" t="s">
        <v>356</v>
      </c>
      <c r="I17" t="s">
        <v>133</v>
      </c>
      <c r="J17">
        <v>10</v>
      </c>
      <c r="K17">
        <v>30</v>
      </c>
      <c r="L17">
        <v>0</v>
      </c>
      <c r="M17">
        <v>300</v>
      </c>
      <c r="O17" s="56">
        <v>10006</v>
      </c>
      <c r="P17" s="57">
        <v>45669</v>
      </c>
      <c r="Q17" s="4" t="s">
        <v>340</v>
      </c>
      <c r="R17" s="7" t="s">
        <v>338</v>
      </c>
      <c r="S17" s="4" t="s">
        <v>338</v>
      </c>
      <c r="T17" s="8" t="s">
        <v>339</v>
      </c>
      <c r="U17" s="4" t="s">
        <v>133</v>
      </c>
      <c r="V17" s="8">
        <v>10</v>
      </c>
      <c r="W17" s="31">
        <v>30</v>
      </c>
      <c r="X17" s="58">
        <v>0</v>
      </c>
      <c r="Y17" s="24">
        <f t="shared" si="0"/>
        <v>300</v>
      </c>
    </row>
    <row r="18" spans="3:25" ht="14.25" customHeight="1" x14ac:dyDescent="0.2">
      <c r="C18">
        <v>10007</v>
      </c>
      <c r="D18" s="50">
        <v>45672</v>
      </c>
      <c r="E18" t="s">
        <v>345</v>
      </c>
      <c r="H18" t="s">
        <v>357</v>
      </c>
      <c r="I18" t="s">
        <v>358</v>
      </c>
      <c r="J18">
        <v>12</v>
      </c>
      <c r="K18">
        <v>8</v>
      </c>
      <c r="L18" t="s">
        <v>337</v>
      </c>
      <c r="M18" t="s">
        <v>359</v>
      </c>
      <c r="O18" s="56">
        <v>10007</v>
      </c>
      <c r="P18" s="57">
        <v>45672</v>
      </c>
      <c r="Q18" s="4" t="s">
        <v>345</v>
      </c>
      <c r="R18" s="7" t="s">
        <v>343</v>
      </c>
      <c r="S18" s="4" t="s">
        <v>343</v>
      </c>
      <c r="T18" s="8" t="s">
        <v>348</v>
      </c>
      <c r="U18" s="4" t="s">
        <v>358</v>
      </c>
      <c r="V18" s="8">
        <v>12</v>
      </c>
      <c r="W18" s="31">
        <v>8</v>
      </c>
      <c r="X18" s="58">
        <v>0.1</v>
      </c>
      <c r="Y18" s="24">
        <f t="shared" si="0"/>
        <v>86.4</v>
      </c>
    </row>
    <row r="19" spans="3:25" ht="14.25" customHeight="1" x14ac:dyDescent="0.2">
      <c r="C19">
        <v>10008</v>
      </c>
      <c r="D19" s="50">
        <v>45674</v>
      </c>
      <c r="E19" t="s">
        <v>349</v>
      </c>
      <c r="H19" t="s">
        <v>360</v>
      </c>
      <c r="I19" t="s">
        <v>361</v>
      </c>
      <c r="J19">
        <v>2</v>
      </c>
      <c r="K19">
        <v>600</v>
      </c>
      <c r="L19" t="s">
        <v>362</v>
      </c>
      <c r="M19">
        <v>1020</v>
      </c>
      <c r="O19" s="56">
        <v>10008</v>
      </c>
      <c r="P19" s="57">
        <v>45674</v>
      </c>
      <c r="Q19" s="4" t="s">
        <v>349</v>
      </c>
      <c r="R19" s="7" t="s">
        <v>347</v>
      </c>
      <c r="S19" s="4" t="s">
        <v>347</v>
      </c>
      <c r="T19" s="8" t="s">
        <v>339</v>
      </c>
      <c r="U19" s="4" t="s">
        <v>361</v>
      </c>
      <c r="V19" s="8">
        <v>2</v>
      </c>
      <c r="W19" s="31">
        <v>600</v>
      </c>
      <c r="X19" s="58">
        <v>0.15</v>
      </c>
      <c r="Y19" s="24">
        <f t="shared" si="0"/>
        <v>1020</v>
      </c>
    </row>
    <row r="20" spans="3:25" ht="14.25" customHeight="1" x14ac:dyDescent="0.2">
      <c r="C20">
        <v>10009</v>
      </c>
      <c r="D20" s="50">
        <v>45675</v>
      </c>
      <c r="E20" t="s">
        <v>335</v>
      </c>
      <c r="H20" t="s">
        <v>363</v>
      </c>
      <c r="I20" t="s">
        <v>85</v>
      </c>
      <c r="J20">
        <v>6</v>
      </c>
      <c r="K20">
        <v>150</v>
      </c>
      <c r="L20">
        <v>0</v>
      </c>
      <c r="M20">
        <v>900</v>
      </c>
      <c r="O20" s="56">
        <v>10009</v>
      </c>
      <c r="P20" s="57">
        <v>45675</v>
      </c>
      <c r="Q20" s="4" t="s">
        <v>335</v>
      </c>
      <c r="R20" s="7" t="s">
        <v>351</v>
      </c>
      <c r="S20" s="4" t="s">
        <v>351</v>
      </c>
      <c r="T20" s="8" t="s">
        <v>344</v>
      </c>
      <c r="U20" s="4" t="s">
        <v>85</v>
      </c>
      <c r="V20" s="8">
        <v>6</v>
      </c>
      <c r="W20" s="31">
        <v>150</v>
      </c>
      <c r="X20" s="58">
        <v>0</v>
      </c>
      <c r="Y20" s="24">
        <f t="shared" si="0"/>
        <v>900</v>
      </c>
    </row>
    <row r="21" spans="3:25" ht="14.25" customHeight="1" x14ac:dyDescent="0.2">
      <c r="C21">
        <v>10010</v>
      </c>
      <c r="D21" s="50">
        <v>45677</v>
      </c>
      <c r="E21" t="s">
        <v>340</v>
      </c>
      <c r="H21" t="s">
        <v>364</v>
      </c>
      <c r="I21" t="s">
        <v>113</v>
      </c>
      <c r="J21">
        <v>20</v>
      </c>
      <c r="K21">
        <v>12</v>
      </c>
      <c r="L21" t="s">
        <v>342</v>
      </c>
      <c r="M21">
        <v>228</v>
      </c>
      <c r="O21" s="56">
        <v>10010</v>
      </c>
      <c r="P21" s="57">
        <v>45677</v>
      </c>
      <c r="Q21" s="4" t="s">
        <v>340</v>
      </c>
      <c r="R21" s="7" t="s">
        <v>355</v>
      </c>
      <c r="S21" s="4" t="s">
        <v>355</v>
      </c>
      <c r="T21" s="8" t="s">
        <v>348</v>
      </c>
      <c r="U21" s="4" t="s">
        <v>113</v>
      </c>
      <c r="V21" s="8">
        <v>20</v>
      </c>
      <c r="W21" s="31">
        <v>12</v>
      </c>
      <c r="X21" s="58">
        <v>0.05</v>
      </c>
      <c r="Y21" s="24">
        <f t="shared" si="0"/>
        <v>228</v>
      </c>
    </row>
    <row r="22" spans="3:25" ht="14.25" customHeight="1" x14ac:dyDescent="0.2">
      <c r="C22">
        <v>10011</v>
      </c>
      <c r="D22" s="50">
        <v>45679</v>
      </c>
      <c r="E22" t="s">
        <v>345</v>
      </c>
      <c r="H22" t="s">
        <v>365</v>
      </c>
      <c r="I22" t="s">
        <v>148</v>
      </c>
      <c r="J22">
        <v>7</v>
      </c>
      <c r="K22">
        <v>50</v>
      </c>
      <c r="L22" t="s">
        <v>337</v>
      </c>
      <c r="M22">
        <v>315</v>
      </c>
      <c r="O22" s="56">
        <v>10011</v>
      </c>
      <c r="P22" s="57">
        <v>45679</v>
      </c>
      <c r="Q22" s="4" t="s">
        <v>345</v>
      </c>
      <c r="R22" s="7" t="s">
        <v>338</v>
      </c>
      <c r="S22" s="4" t="s">
        <v>338</v>
      </c>
      <c r="T22" s="8" t="s">
        <v>339</v>
      </c>
      <c r="U22" s="4" t="s">
        <v>148</v>
      </c>
      <c r="V22" s="8">
        <v>7</v>
      </c>
      <c r="W22" s="31">
        <v>50</v>
      </c>
      <c r="X22" s="58">
        <v>0.1</v>
      </c>
      <c r="Y22" s="24">
        <f t="shared" si="0"/>
        <v>315</v>
      </c>
    </row>
    <row r="23" spans="3:25" ht="14.25" customHeight="1" x14ac:dyDescent="0.2">
      <c r="C23">
        <v>10012</v>
      </c>
      <c r="D23" s="50">
        <v>45682</v>
      </c>
      <c r="E23" t="s">
        <v>349</v>
      </c>
      <c r="H23" t="s">
        <v>366</v>
      </c>
      <c r="I23" t="s">
        <v>139</v>
      </c>
      <c r="J23">
        <v>3</v>
      </c>
      <c r="K23">
        <v>350</v>
      </c>
      <c r="L23" t="s">
        <v>342</v>
      </c>
      <c r="M23" t="s">
        <v>367</v>
      </c>
      <c r="O23" s="56">
        <v>10012</v>
      </c>
      <c r="P23" s="57">
        <v>45682</v>
      </c>
      <c r="Q23" s="4" t="s">
        <v>349</v>
      </c>
      <c r="R23" s="7" t="s">
        <v>343</v>
      </c>
      <c r="S23" s="4" t="s">
        <v>343</v>
      </c>
      <c r="T23" s="8" t="s">
        <v>344</v>
      </c>
      <c r="U23" s="4" t="s">
        <v>139</v>
      </c>
      <c r="V23" s="8">
        <v>3</v>
      </c>
      <c r="W23" s="31">
        <v>350</v>
      </c>
      <c r="X23" s="58">
        <v>0.05</v>
      </c>
      <c r="Y23" s="24">
        <f t="shared" si="0"/>
        <v>997.5</v>
      </c>
    </row>
    <row r="24" spans="3:25" ht="14.25" customHeight="1" x14ac:dyDescent="0.2">
      <c r="C24">
        <v>10013</v>
      </c>
      <c r="D24" s="50">
        <v>45684</v>
      </c>
      <c r="E24" t="s">
        <v>335</v>
      </c>
      <c r="H24" t="s">
        <v>336</v>
      </c>
      <c r="I24" t="s">
        <v>353</v>
      </c>
      <c r="J24">
        <v>1</v>
      </c>
      <c r="K24">
        <v>1200</v>
      </c>
      <c r="L24">
        <v>0</v>
      </c>
      <c r="M24">
        <v>1200</v>
      </c>
      <c r="O24" s="56">
        <v>10013</v>
      </c>
      <c r="P24" s="57">
        <v>45684</v>
      </c>
      <c r="Q24" s="4" t="s">
        <v>335</v>
      </c>
      <c r="R24" s="7" t="s">
        <v>347</v>
      </c>
      <c r="S24" s="4" t="s">
        <v>347</v>
      </c>
      <c r="T24" s="8" t="s">
        <v>339</v>
      </c>
      <c r="U24" s="4" t="s">
        <v>353</v>
      </c>
      <c r="V24" s="8">
        <v>1</v>
      </c>
      <c r="W24" s="31">
        <v>1200</v>
      </c>
      <c r="X24" s="58">
        <v>0</v>
      </c>
      <c r="Y24" s="24">
        <f t="shared" si="0"/>
        <v>1200</v>
      </c>
    </row>
    <row r="25" spans="3:25" ht="14.25" customHeight="1" x14ac:dyDescent="0.2">
      <c r="C25">
        <v>10014</v>
      </c>
      <c r="D25" s="50">
        <v>45686</v>
      </c>
      <c r="E25" t="s">
        <v>340</v>
      </c>
      <c r="H25" t="s">
        <v>368</v>
      </c>
      <c r="I25" t="s">
        <v>133</v>
      </c>
      <c r="J25">
        <v>8</v>
      </c>
      <c r="K25">
        <v>15</v>
      </c>
      <c r="L25">
        <v>0</v>
      </c>
      <c r="M25">
        <v>120</v>
      </c>
      <c r="O25" s="56">
        <v>10014</v>
      </c>
      <c r="P25" s="57">
        <v>45686</v>
      </c>
      <c r="Q25" s="4" t="s">
        <v>340</v>
      </c>
      <c r="R25" s="7" t="s">
        <v>351</v>
      </c>
      <c r="S25" s="4" t="s">
        <v>351</v>
      </c>
      <c r="T25" s="8" t="s">
        <v>348</v>
      </c>
      <c r="U25" s="4" t="s">
        <v>133</v>
      </c>
      <c r="V25" s="8">
        <v>8</v>
      </c>
      <c r="W25" s="31">
        <v>15</v>
      </c>
      <c r="X25" s="58">
        <v>0</v>
      </c>
      <c r="Y25" s="24">
        <f t="shared" si="0"/>
        <v>120</v>
      </c>
    </row>
    <row r="26" spans="3:25" ht="14.25" customHeight="1" x14ac:dyDescent="0.2">
      <c r="C26">
        <v>10015</v>
      </c>
      <c r="D26" s="50">
        <v>45690</v>
      </c>
      <c r="E26" t="s">
        <v>345</v>
      </c>
      <c r="H26" t="s">
        <v>341</v>
      </c>
      <c r="I26" t="s">
        <v>358</v>
      </c>
      <c r="J26">
        <v>4</v>
      </c>
      <c r="K26">
        <v>400</v>
      </c>
      <c r="L26" t="s">
        <v>337</v>
      </c>
      <c r="M26">
        <v>1440</v>
      </c>
      <c r="O26" s="56">
        <v>10015</v>
      </c>
      <c r="P26" s="57">
        <v>45690</v>
      </c>
      <c r="Q26" s="4" t="s">
        <v>345</v>
      </c>
      <c r="R26" s="7" t="s">
        <v>355</v>
      </c>
      <c r="S26" s="4" t="s">
        <v>355</v>
      </c>
      <c r="T26" s="8" t="s">
        <v>344</v>
      </c>
      <c r="U26" s="4" t="s">
        <v>358</v>
      </c>
      <c r="V26" s="8">
        <v>4</v>
      </c>
      <c r="W26" s="31">
        <v>400</v>
      </c>
      <c r="X26" s="58">
        <v>0.1</v>
      </c>
      <c r="Y26" s="24">
        <f t="shared" si="0"/>
        <v>1440</v>
      </c>
    </row>
    <row r="27" spans="3:25" ht="14.25" customHeight="1" x14ac:dyDescent="0.2">
      <c r="C27">
        <v>10016</v>
      </c>
      <c r="D27" s="50">
        <v>45693</v>
      </c>
      <c r="E27" t="s">
        <v>349</v>
      </c>
      <c r="H27" t="s">
        <v>350</v>
      </c>
      <c r="I27" t="s">
        <v>361</v>
      </c>
      <c r="J27">
        <v>5</v>
      </c>
      <c r="K27">
        <v>300</v>
      </c>
      <c r="L27">
        <v>0</v>
      </c>
      <c r="M27">
        <v>1500</v>
      </c>
      <c r="O27" s="56">
        <v>10016</v>
      </c>
      <c r="P27" s="57">
        <v>45693</v>
      </c>
      <c r="Q27" s="4" t="s">
        <v>349</v>
      </c>
      <c r="R27" s="7" t="s">
        <v>338</v>
      </c>
      <c r="S27" s="4" t="s">
        <v>338</v>
      </c>
      <c r="T27" s="8" t="s">
        <v>339</v>
      </c>
      <c r="U27" s="4" t="s">
        <v>361</v>
      </c>
      <c r="V27" s="8">
        <v>5</v>
      </c>
      <c r="W27" s="31">
        <v>300</v>
      </c>
      <c r="X27" s="58">
        <v>0</v>
      </c>
      <c r="Y27" s="24">
        <f t="shared" si="0"/>
        <v>1500</v>
      </c>
    </row>
    <row r="28" spans="3:25" ht="14.25" customHeight="1" x14ac:dyDescent="0.2">
      <c r="C28">
        <v>10017</v>
      </c>
      <c r="D28" s="50">
        <v>45696</v>
      </c>
      <c r="E28" t="s">
        <v>335</v>
      </c>
      <c r="H28" t="s">
        <v>346</v>
      </c>
      <c r="I28" t="s">
        <v>85</v>
      </c>
      <c r="J28">
        <v>30</v>
      </c>
      <c r="K28">
        <v>10</v>
      </c>
      <c r="L28" t="s">
        <v>342</v>
      </c>
      <c r="M28">
        <v>285</v>
      </c>
      <c r="O28" s="56">
        <v>10017</v>
      </c>
      <c r="P28" s="57">
        <v>45696</v>
      </c>
      <c r="Q28" s="4" t="s">
        <v>335</v>
      </c>
      <c r="R28" s="7" t="s">
        <v>343</v>
      </c>
      <c r="S28" s="4" t="s">
        <v>343</v>
      </c>
      <c r="T28" s="8" t="s">
        <v>348</v>
      </c>
      <c r="U28" s="4" t="s">
        <v>85</v>
      </c>
      <c r="V28" s="8">
        <v>30</v>
      </c>
      <c r="W28" s="31">
        <v>10</v>
      </c>
      <c r="X28" s="58">
        <v>0.05</v>
      </c>
      <c r="Y28" s="24">
        <f t="shared" si="0"/>
        <v>285</v>
      </c>
    </row>
    <row r="29" spans="3:25" ht="14.25" customHeight="1" x14ac:dyDescent="0.2">
      <c r="C29">
        <v>10018</v>
      </c>
      <c r="D29" s="50">
        <v>45698</v>
      </c>
      <c r="E29" t="s">
        <v>340</v>
      </c>
      <c r="H29" t="s">
        <v>352</v>
      </c>
      <c r="I29" t="s">
        <v>113</v>
      </c>
      <c r="J29">
        <v>2</v>
      </c>
      <c r="K29">
        <v>250</v>
      </c>
      <c r="L29">
        <v>0</v>
      </c>
      <c r="M29">
        <v>500</v>
      </c>
      <c r="O29" s="56">
        <v>10018</v>
      </c>
      <c r="P29" s="57">
        <v>45698</v>
      </c>
      <c r="Q29" s="4" t="s">
        <v>340</v>
      </c>
      <c r="R29" s="7" t="s">
        <v>347</v>
      </c>
      <c r="S29" s="4" t="s">
        <v>347</v>
      </c>
      <c r="T29" s="8" t="s">
        <v>344</v>
      </c>
      <c r="U29" s="4" t="s">
        <v>113</v>
      </c>
      <c r="V29" s="8">
        <v>2</v>
      </c>
      <c r="W29" s="31">
        <v>250</v>
      </c>
      <c r="X29" s="58">
        <v>0</v>
      </c>
      <c r="Y29" s="24">
        <f t="shared" si="0"/>
        <v>500</v>
      </c>
    </row>
    <row r="30" spans="3:25" ht="14.25" customHeight="1" x14ac:dyDescent="0.2">
      <c r="C30">
        <v>10019</v>
      </c>
      <c r="D30" s="50">
        <v>45700</v>
      </c>
      <c r="E30" t="s">
        <v>345</v>
      </c>
      <c r="H30" t="s">
        <v>360</v>
      </c>
      <c r="I30" t="s">
        <v>148</v>
      </c>
      <c r="J30">
        <v>3</v>
      </c>
      <c r="K30">
        <v>600</v>
      </c>
      <c r="L30" t="s">
        <v>337</v>
      </c>
      <c r="M30">
        <v>1620</v>
      </c>
      <c r="O30" s="56">
        <v>10019</v>
      </c>
      <c r="P30" s="57">
        <v>45700</v>
      </c>
      <c r="Q30" s="4" t="s">
        <v>345</v>
      </c>
      <c r="R30" s="7" t="s">
        <v>351</v>
      </c>
      <c r="S30" s="4" t="s">
        <v>351</v>
      </c>
      <c r="T30" s="8" t="s">
        <v>339</v>
      </c>
      <c r="U30" s="4" t="s">
        <v>148</v>
      </c>
      <c r="V30" s="8">
        <v>3</v>
      </c>
      <c r="W30" s="31">
        <v>600</v>
      </c>
      <c r="X30" s="58">
        <v>0.1</v>
      </c>
      <c r="Y30" s="24">
        <f t="shared" si="0"/>
        <v>1620</v>
      </c>
    </row>
    <row r="31" spans="3:25" x14ac:dyDescent="0.2">
      <c r="C31">
        <v>10020</v>
      </c>
      <c r="D31" s="50">
        <v>45703</v>
      </c>
      <c r="E31" t="s">
        <v>349</v>
      </c>
      <c r="H31" t="s">
        <v>357</v>
      </c>
      <c r="I31" t="s">
        <v>139</v>
      </c>
      <c r="J31">
        <v>14</v>
      </c>
      <c r="K31">
        <v>8</v>
      </c>
      <c r="L31">
        <v>0</v>
      </c>
      <c r="M31">
        <v>112</v>
      </c>
      <c r="O31" s="59">
        <v>10020</v>
      </c>
      <c r="P31" s="60">
        <v>45703</v>
      </c>
      <c r="Q31" s="33" t="s">
        <v>349</v>
      </c>
      <c r="R31" s="9" t="s">
        <v>355</v>
      </c>
      <c r="S31" s="33" t="s">
        <v>355</v>
      </c>
      <c r="T31" s="10" t="s">
        <v>348</v>
      </c>
      <c r="U31" s="33" t="s">
        <v>139</v>
      </c>
      <c r="V31" s="10">
        <v>14</v>
      </c>
      <c r="W31" s="61">
        <v>8</v>
      </c>
      <c r="X31" s="62">
        <v>0</v>
      </c>
      <c r="Y31" s="29">
        <f t="shared" si="0"/>
        <v>112</v>
      </c>
    </row>
    <row r="32" spans="3:25" ht="14.25" customHeight="1" x14ac:dyDescent="0.2"/>
    <row r="33" spans="3:12" ht="14.25" customHeight="1" x14ac:dyDescent="0.2">
      <c r="C33" t="s">
        <v>338</v>
      </c>
      <c r="D33" t="s">
        <v>343</v>
      </c>
      <c r="E33" t="s">
        <v>347</v>
      </c>
      <c r="F33" t="s">
        <v>351</v>
      </c>
      <c r="G33" t="s">
        <v>355</v>
      </c>
      <c r="H33" t="s">
        <v>338</v>
      </c>
      <c r="I33" t="s">
        <v>343</v>
      </c>
      <c r="J33" t="s">
        <v>347</v>
      </c>
      <c r="K33" t="s">
        <v>351</v>
      </c>
      <c r="L33" t="s">
        <v>355</v>
      </c>
    </row>
    <row r="34" spans="3:12" x14ac:dyDescent="0.2">
      <c r="C34" t="s">
        <v>339</v>
      </c>
      <c r="D34" t="s">
        <v>344</v>
      </c>
      <c r="E34" t="s">
        <v>339</v>
      </c>
      <c r="F34" t="s">
        <v>348</v>
      </c>
      <c r="G34" t="s">
        <v>344</v>
      </c>
      <c r="H34" t="s">
        <v>339</v>
      </c>
      <c r="I34" t="s">
        <v>348</v>
      </c>
      <c r="J34" t="s">
        <v>344</v>
      </c>
      <c r="K34" t="s">
        <v>339</v>
      </c>
      <c r="L34" t="s">
        <v>348</v>
      </c>
    </row>
    <row r="55" spans="1:11" x14ac:dyDescent="0.2">
      <c r="A55" t="s">
        <v>327</v>
      </c>
      <c r="B55" t="s">
        <v>338</v>
      </c>
      <c r="C55" t="s">
        <v>343</v>
      </c>
      <c r="D55" t="s">
        <v>347</v>
      </c>
      <c r="E55" t="s">
        <v>351</v>
      </c>
      <c r="F55" t="s">
        <v>355</v>
      </c>
      <c r="G55" t="s">
        <v>338</v>
      </c>
      <c r="H55" t="s">
        <v>343</v>
      </c>
      <c r="I55" t="s">
        <v>347</v>
      </c>
      <c r="J55" t="s">
        <v>351</v>
      </c>
      <c r="K55" t="s">
        <v>355</v>
      </c>
    </row>
    <row r="56" spans="1:11" x14ac:dyDescent="0.2">
      <c r="A56" t="s">
        <v>328</v>
      </c>
      <c r="B56" t="s">
        <v>339</v>
      </c>
      <c r="C56" t="s">
        <v>344</v>
      </c>
      <c r="D56" t="s">
        <v>348</v>
      </c>
      <c r="E56" t="s">
        <v>339</v>
      </c>
      <c r="F56" t="s">
        <v>344</v>
      </c>
      <c r="G56" t="s">
        <v>339</v>
      </c>
      <c r="H56" t="s">
        <v>348</v>
      </c>
      <c r="I56" t="s">
        <v>339</v>
      </c>
      <c r="J56" t="s">
        <v>344</v>
      </c>
      <c r="K56" t="s">
        <v>348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106"/>
  <sheetViews>
    <sheetView showGridLines="0" zoomScaleNormal="100" workbookViewId="0">
      <selection activeCell="B5" sqref="B5"/>
    </sheetView>
  </sheetViews>
  <sheetFormatPr baseColWidth="10" defaultColWidth="8.5" defaultRowHeight="15" x14ac:dyDescent="0.2"/>
  <cols>
    <col min="2" max="2" width="65.1640625" customWidth="1"/>
    <col min="15" max="15" width="21.83203125" customWidth="1"/>
    <col min="16" max="16" width="12.33203125" customWidth="1"/>
  </cols>
  <sheetData>
    <row r="2" spans="2:16" ht="14.25" customHeight="1" x14ac:dyDescent="0.2">
      <c r="B2" s="13" t="s">
        <v>33</v>
      </c>
    </row>
    <row r="3" spans="2:16" ht="14.25" customHeight="1" x14ac:dyDescent="0.2">
      <c r="B3" s="5" t="s">
        <v>232</v>
      </c>
    </row>
    <row r="4" spans="2:16" ht="14.25" customHeight="1" x14ac:dyDescent="0.2">
      <c r="B4" s="7" t="s">
        <v>507</v>
      </c>
    </row>
    <row r="5" spans="2:16" ht="14.25" customHeight="1" x14ac:dyDescent="0.2">
      <c r="B5" s="9" t="s">
        <v>233</v>
      </c>
    </row>
    <row r="11" spans="2:16" ht="14.25" customHeight="1" x14ac:dyDescent="0.2">
      <c r="I11" t="s">
        <v>81</v>
      </c>
      <c r="J11" t="s">
        <v>234</v>
      </c>
      <c r="O11" t="s">
        <v>81</v>
      </c>
      <c r="P11" s="35" t="s">
        <v>234</v>
      </c>
    </row>
    <row r="12" spans="2:16" ht="14.25" hidden="1" customHeight="1" x14ac:dyDescent="0.2">
      <c r="I12" t="s">
        <v>235</v>
      </c>
      <c r="J12">
        <v>128000</v>
      </c>
      <c r="O12" s="36" t="s">
        <v>236</v>
      </c>
      <c r="P12" s="37">
        <v>68000</v>
      </c>
    </row>
    <row r="13" spans="2:16" ht="14.25" hidden="1" customHeight="1" x14ac:dyDescent="0.2">
      <c r="I13" t="s">
        <v>87</v>
      </c>
      <c r="J13">
        <v>3685000</v>
      </c>
      <c r="O13" s="38" t="s">
        <v>237</v>
      </c>
      <c r="P13" s="39">
        <v>71000</v>
      </c>
    </row>
    <row r="14" spans="2:16" ht="14.25" hidden="1" customHeight="1" x14ac:dyDescent="0.2">
      <c r="I14" t="s">
        <v>238</v>
      </c>
      <c r="J14">
        <v>103000</v>
      </c>
      <c r="O14" s="40" t="s">
        <v>239</v>
      </c>
      <c r="P14" s="39">
        <v>74000</v>
      </c>
    </row>
    <row r="15" spans="2:16" ht="14.25" hidden="1" customHeight="1" x14ac:dyDescent="0.2">
      <c r="I15" t="s">
        <v>91</v>
      </c>
      <c r="J15">
        <v>1862000</v>
      </c>
      <c r="O15" s="38" t="s">
        <v>240</v>
      </c>
      <c r="P15" s="41">
        <v>78000</v>
      </c>
    </row>
    <row r="16" spans="2:16" ht="14.25" hidden="1" customHeight="1" x14ac:dyDescent="0.2">
      <c r="I16" s="42" t="s">
        <v>241</v>
      </c>
      <c r="J16" s="43">
        <v>88000</v>
      </c>
      <c r="O16" s="38" t="s">
        <v>242</v>
      </c>
      <c r="P16" s="41">
        <v>82000</v>
      </c>
    </row>
    <row r="17" spans="9:16" ht="14.25" hidden="1" customHeight="1" x14ac:dyDescent="0.2">
      <c r="I17" s="42" t="s">
        <v>243</v>
      </c>
      <c r="J17" s="43">
        <v>247000</v>
      </c>
      <c r="O17" s="38" t="s">
        <v>244</v>
      </c>
      <c r="P17" s="41">
        <v>84000</v>
      </c>
    </row>
    <row r="18" spans="9:16" ht="14.25" hidden="1" customHeight="1" x14ac:dyDescent="0.2">
      <c r="I18" s="42" t="s">
        <v>245</v>
      </c>
      <c r="J18" s="43">
        <v>162000</v>
      </c>
      <c r="O18" s="38" t="s">
        <v>246</v>
      </c>
      <c r="P18" s="41">
        <v>87000</v>
      </c>
    </row>
    <row r="19" spans="9:16" ht="14.25" hidden="1" customHeight="1" x14ac:dyDescent="0.2">
      <c r="I19" s="42" t="s">
        <v>247</v>
      </c>
      <c r="J19" s="43">
        <v>165000</v>
      </c>
      <c r="O19" s="38" t="s">
        <v>248</v>
      </c>
      <c r="P19" s="39">
        <v>87000</v>
      </c>
    </row>
    <row r="20" spans="9:16" ht="14.25" hidden="1" customHeight="1" x14ac:dyDescent="0.2">
      <c r="I20" s="42" t="s">
        <v>111</v>
      </c>
      <c r="J20" s="43">
        <v>331000</v>
      </c>
      <c r="O20" s="38" t="s">
        <v>241</v>
      </c>
      <c r="P20" s="44">
        <v>88000</v>
      </c>
    </row>
    <row r="21" spans="9:16" ht="14.25" hidden="1" customHeight="1" x14ac:dyDescent="0.2">
      <c r="I21" s="42" t="s">
        <v>236</v>
      </c>
      <c r="J21" s="43">
        <v>68000</v>
      </c>
      <c r="O21" s="38" t="s">
        <v>249</v>
      </c>
      <c r="P21" s="41">
        <v>90000</v>
      </c>
    </row>
    <row r="22" spans="9:16" ht="14.25" hidden="1" customHeight="1" x14ac:dyDescent="0.2">
      <c r="I22" s="42" t="s">
        <v>119</v>
      </c>
      <c r="J22" s="43">
        <v>565000</v>
      </c>
      <c r="O22" s="38" t="s">
        <v>250</v>
      </c>
      <c r="P22" s="39">
        <v>90000</v>
      </c>
    </row>
    <row r="23" spans="9:16" ht="14.25" hidden="1" customHeight="1" x14ac:dyDescent="0.2">
      <c r="I23" s="42" t="s">
        <v>251</v>
      </c>
      <c r="J23" s="43">
        <v>159000</v>
      </c>
      <c r="O23" s="38" t="s">
        <v>252</v>
      </c>
      <c r="P23" s="44">
        <v>92000</v>
      </c>
    </row>
    <row r="24" spans="9:16" ht="14.25" hidden="1" customHeight="1" x14ac:dyDescent="0.2">
      <c r="I24" s="42" t="s">
        <v>253</v>
      </c>
      <c r="J24" s="43">
        <v>520000</v>
      </c>
      <c r="O24" s="38" t="s">
        <v>254</v>
      </c>
      <c r="P24" s="41">
        <v>93000</v>
      </c>
    </row>
    <row r="25" spans="9:16" ht="14.25" hidden="1" customHeight="1" x14ac:dyDescent="0.2">
      <c r="I25" s="42" t="s">
        <v>255</v>
      </c>
      <c r="J25" s="43">
        <v>99000</v>
      </c>
      <c r="O25" s="38" t="s">
        <v>256</v>
      </c>
      <c r="P25" s="41">
        <v>94000</v>
      </c>
    </row>
    <row r="26" spans="9:16" ht="14.25" hidden="1" customHeight="1" x14ac:dyDescent="0.2">
      <c r="I26" t="s">
        <v>257</v>
      </c>
      <c r="J26" s="43">
        <v>126000</v>
      </c>
      <c r="O26" s="38" t="s">
        <v>258</v>
      </c>
      <c r="P26" s="41">
        <v>95000</v>
      </c>
    </row>
    <row r="27" spans="9:16" ht="14.25" hidden="1" customHeight="1" x14ac:dyDescent="0.2">
      <c r="I27" t="s">
        <v>259</v>
      </c>
      <c r="J27" s="43">
        <v>152000</v>
      </c>
      <c r="O27" s="40" t="s">
        <v>260</v>
      </c>
      <c r="P27" s="41">
        <v>95000</v>
      </c>
    </row>
    <row r="28" spans="9:16" ht="14.25" hidden="1" customHeight="1" x14ac:dyDescent="0.2">
      <c r="I28" t="s">
        <v>261</v>
      </c>
      <c r="J28" s="43">
        <v>217000</v>
      </c>
      <c r="O28" s="40" t="s">
        <v>262</v>
      </c>
      <c r="P28" s="41">
        <v>96000</v>
      </c>
    </row>
    <row r="29" spans="9:16" ht="14.25" hidden="1" customHeight="1" x14ac:dyDescent="0.2">
      <c r="I29" t="s">
        <v>252</v>
      </c>
      <c r="J29" s="43">
        <v>92000</v>
      </c>
      <c r="O29" s="38" t="s">
        <v>255</v>
      </c>
      <c r="P29" s="44">
        <v>99000</v>
      </c>
    </row>
    <row r="30" spans="9:16" ht="14.25" customHeight="1" x14ac:dyDescent="0.2">
      <c r="I30" t="s">
        <v>263</v>
      </c>
      <c r="J30">
        <v>308000</v>
      </c>
      <c r="O30" s="38" t="s">
        <v>264</v>
      </c>
      <c r="P30" s="41">
        <v>100000</v>
      </c>
    </row>
    <row r="31" spans="9:16" ht="14.25" customHeight="1" x14ac:dyDescent="0.2">
      <c r="I31" t="s">
        <v>265</v>
      </c>
      <c r="J31">
        <v>172000</v>
      </c>
      <c r="O31" s="38" t="s">
        <v>266</v>
      </c>
      <c r="P31" s="39">
        <v>101000</v>
      </c>
    </row>
    <row r="32" spans="9:16" ht="14.25" customHeight="1" x14ac:dyDescent="0.2">
      <c r="I32" t="s">
        <v>267</v>
      </c>
      <c r="J32" s="45">
        <v>301000</v>
      </c>
      <c r="O32" s="38" t="s">
        <v>268</v>
      </c>
      <c r="P32" s="41">
        <v>102000</v>
      </c>
    </row>
    <row r="33" spans="9:16" ht="14.25" customHeight="1" x14ac:dyDescent="0.2">
      <c r="I33" s="4" t="s">
        <v>258</v>
      </c>
      <c r="J33" s="45">
        <v>95000</v>
      </c>
      <c r="O33" s="38" t="s">
        <v>238</v>
      </c>
      <c r="P33" s="41">
        <v>103000</v>
      </c>
    </row>
    <row r="34" spans="9:16" ht="14.25" customHeight="1" x14ac:dyDescent="0.2">
      <c r="I34" s="4" t="s">
        <v>269</v>
      </c>
      <c r="J34" s="45">
        <v>126000</v>
      </c>
      <c r="O34" s="40" t="s">
        <v>270</v>
      </c>
      <c r="P34" s="39">
        <v>104000</v>
      </c>
    </row>
    <row r="35" spans="9:16" ht="14.25" customHeight="1" x14ac:dyDescent="0.2">
      <c r="I35" s="4" t="s">
        <v>271</v>
      </c>
      <c r="J35" s="45">
        <v>756000</v>
      </c>
      <c r="O35" s="38" t="s">
        <v>272</v>
      </c>
      <c r="P35" s="41">
        <v>110000</v>
      </c>
    </row>
    <row r="36" spans="9:16" ht="14.25" customHeight="1" x14ac:dyDescent="0.2">
      <c r="I36" s="4" t="s">
        <v>273</v>
      </c>
      <c r="J36" s="45">
        <v>111000</v>
      </c>
      <c r="O36" s="38" t="s">
        <v>273</v>
      </c>
      <c r="P36" s="41">
        <v>111000</v>
      </c>
    </row>
    <row r="37" spans="9:16" ht="14.25" customHeight="1" x14ac:dyDescent="0.2">
      <c r="I37" s="4" t="s">
        <v>274</v>
      </c>
      <c r="J37" s="45">
        <v>603000</v>
      </c>
      <c r="O37" s="38" t="s">
        <v>275</v>
      </c>
      <c r="P37" s="41">
        <v>111000</v>
      </c>
    </row>
    <row r="38" spans="9:16" ht="14.25" customHeight="1" x14ac:dyDescent="0.2">
      <c r="I38" s="4" t="s">
        <v>276</v>
      </c>
      <c r="J38" s="45">
        <v>316000</v>
      </c>
      <c r="O38" s="38" t="s">
        <v>277</v>
      </c>
      <c r="P38" s="39">
        <v>111000</v>
      </c>
    </row>
    <row r="39" spans="9:16" ht="14.25" customHeight="1" x14ac:dyDescent="0.2">
      <c r="I39" s="4" t="s">
        <v>249</v>
      </c>
      <c r="J39" s="45">
        <v>90000</v>
      </c>
      <c r="O39" s="38" t="s">
        <v>278</v>
      </c>
      <c r="P39" s="41">
        <v>112000</v>
      </c>
    </row>
    <row r="40" spans="9:16" ht="14.25" customHeight="1" x14ac:dyDescent="0.2">
      <c r="I40" s="4" t="s">
        <v>279</v>
      </c>
      <c r="J40" s="45">
        <v>118000</v>
      </c>
      <c r="O40" s="38" t="s">
        <v>280</v>
      </c>
      <c r="P40" s="41">
        <v>113000</v>
      </c>
    </row>
    <row r="41" spans="9:16" ht="14.25" customHeight="1" x14ac:dyDescent="0.2">
      <c r="I41" s="4" t="s">
        <v>242</v>
      </c>
      <c r="J41" s="45">
        <v>82000</v>
      </c>
      <c r="O41" s="40" t="s">
        <v>281</v>
      </c>
      <c r="P41" s="41">
        <v>114000</v>
      </c>
    </row>
    <row r="42" spans="9:16" ht="14.25" customHeight="1" x14ac:dyDescent="0.2">
      <c r="I42" t="s">
        <v>282</v>
      </c>
      <c r="J42">
        <v>287000</v>
      </c>
      <c r="O42" s="40" t="s">
        <v>283</v>
      </c>
      <c r="P42" s="39">
        <v>116000</v>
      </c>
    </row>
    <row r="43" spans="9:16" ht="14.25" customHeight="1" x14ac:dyDescent="0.2">
      <c r="I43" t="s">
        <v>268</v>
      </c>
      <c r="J43">
        <v>102000</v>
      </c>
      <c r="O43" s="38" t="s">
        <v>279</v>
      </c>
      <c r="P43" s="41">
        <v>118000</v>
      </c>
    </row>
    <row r="44" spans="9:16" ht="14.25" customHeight="1" x14ac:dyDescent="0.2">
      <c r="I44" t="s">
        <v>115</v>
      </c>
      <c r="J44">
        <v>613000</v>
      </c>
      <c r="O44" s="40" t="s">
        <v>284</v>
      </c>
      <c r="P44" s="39">
        <v>118000</v>
      </c>
    </row>
    <row r="45" spans="9:16" ht="14.25" customHeight="1" x14ac:dyDescent="0.2">
      <c r="I45" s="42" t="s">
        <v>272</v>
      </c>
      <c r="J45">
        <v>110000</v>
      </c>
      <c r="O45" s="40" t="s">
        <v>285</v>
      </c>
      <c r="P45" s="41">
        <v>125000</v>
      </c>
    </row>
    <row r="46" spans="9:16" ht="14.25" customHeight="1" x14ac:dyDescent="0.2">
      <c r="I46" s="42" t="s">
        <v>278</v>
      </c>
      <c r="J46">
        <v>112000</v>
      </c>
      <c r="O46" s="38" t="s">
        <v>257</v>
      </c>
      <c r="P46" s="44">
        <v>126000</v>
      </c>
    </row>
    <row r="47" spans="9:16" ht="14.25" customHeight="1" x14ac:dyDescent="0.2">
      <c r="I47" s="42" t="s">
        <v>95</v>
      </c>
      <c r="J47">
        <v>1505000</v>
      </c>
      <c r="O47" s="38" t="s">
        <v>269</v>
      </c>
      <c r="P47" s="41">
        <v>126000</v>
      </c>
    </row>
    <row r="48" spans="9:16" ht="14.25" customHeight="1" x14ac:dyDescent="0.2">
      <c r="I48" s="42" t="s">
        <v>280</v>
      </c>
      <c r="J48">
        <v>113000</v>
      </c>
      <c r="O48" s="38" t="s">
        <v>235</v>
      </c>
      <c r="P48" s="41">
        <v>128000</v>
      </c>
    </row>
    <row r="49" spans="9:16" ht="14.25" customHeight="1" x14ac:dyDescent="0.2">
      <c r="I49" t="s">
        <v>275</v>
      </c>
      <c r="J49">
        <v>111000</v>
      </c>
      <c r="O49" s="40" t="s">
        <v>286</v>
      </c>
      <c r="P49" s="39">
        <v>130000</v>
      </c>
    </row>
    <row r="50" spans="9:16" ht="14.25" customHeight="1" x14ac:dyDescent="0.2">
      <c r="I50" t="s">
        <v>287</v>
      </c>
      <c r="J50">
        <v>220000</v>
      </c>
      <c r="O50" s="40" t="s">
        <v>288</v>
      </c>
      <c r="P50" s="41">
        <v>130000</v>
      </c>
    </row>
    <row r="51" spans="9:16" ht="14.25" customHeight="1" x14ac:dyDescent="0.2">
      <c r="I51" t="s">
        <v>246</v>
      </c>
      <c r="J51">
        <v>87000</v>
      </c>
      <c r="O51" s="40" t="s">
        <v>289</v>
      </c>
      <c r="P51" s="39">
        <v>131000</v>
      </c>
    </row>
    <row r="52" spans="9:16" ht="14.25" customHeight="1" x14ac:dyDescent="0.2">
      <c r="I52" t="s">
        <v>290</v>
      </c>
      <c r="J52">
        <v>247000</v>
      </c>
      <c r="O52" s="40" t="s">
        <v>291</v>
      </c>
      <c r="P52" s="39">
        <v>139000</v>
      </c>
    </row>
    <row r="53" spans="9:16" ht="14.25" customHeight="1" x14ac:dyDescent="0.2">
      <c r="I53" t="s">
        <v>292</v>
      </c>
      <c r="J53">
        <v>157000</v>
      </c>
      <c r="O53" s="38" t="s">
        <v>259</v>
      </c>
      <c r="P53" s="44">
        <v>152000</v>
      </c>
    </row>
    <row r="54" spans="9:16" ht="14.25" customHeight="1" x14ac:dyDescent="0.2">
      <c r="I54" s="4" t="s">
        <v>293</v>
      </c>
      <c r="J54" s="46">
        <v>231000</v>
      </c>
      <c r="O54" s="38" t="s">
        <v>294</v>
      </c>
      <c r="P54" s="39">
        <v>153000</v>
      </c>
    </row>
    <row r="55" spans="9:16" ht="14.25" customHeight="1" x14ac:dyDescent="0.2">
      <c r="I55" s="4" t="s">
        <v>295</v>
      </c>
      <c r="J55" s="46">
        <v>201000</v>
      </c>
      <c r="O55" s="40" t="s">
        <v>296</v>
      </c>
      <c r="P55" s="41">
        <v>154000</v>
      </c>
    </row>
    <row r="56" spans="9:16" ht="14.25" customHeight="1" x14ac:dyDescent="0.2">
      <c r="I56" s="4" t="s">
        <v>237</v>
      </c>
      <c r="J56" s="46">
        <v>71000</v>
      </c>
      <c r="O56" s="38" t="s">
        <v>292</v>
      </c>
      <c r="P56" s="41">
        <v>157000</v>
      </c>
    </row>
    <row r="57" spans="9:16" ht="14.25" customHeight="1" x14ac:dyDescent="0.2">
      <c r="I57" s="4" t="s">
        <v>266</v>
      </c>
      <c r="J57" s="46">
        <v>101000</v>
      </c>
      <c r="O57" s="38" t="s">
        <v>251</v>
      </c>
      <c r="P57" s="44">
        <v>159000</v>
      </c>
    </row>
    <row r="58" spans="9:16" ht="14.25" customHeight="1" x14ac:dyDescent="0.2">
      <c r="I58" s="4" t="s">
        <v>297</v>
      </c>
      <c r="J58" s="46">
        <v>183000</v>
      </c>
      <c r="O58" s="38" t="s">
        <v>298</v>
      </c>
      <c r="P58" s="39">
        <v>160000</v>
      </c>
    </row>
    <row r="59" spans="9:16" ht="14.25" customHeight="1" x14ac:dyDescent="0.2">
      <c r="I59" s="4" t="s">
        <v>299</v>
      </c>
      <c r="J59" s="46">
        <v>364000</v>
      </c>
      <c r="O59" s="38" t="s">
        <v>245</v>
      </c>
      <c r="P59" s="44">
        <v>162000</v>
      </c>
    </row>
    <row r="60" spans="9:16" ht="14.25" customHeight="1" x14ac:dyDescent="0.2">
      <c r="I60" s="4" t="s">
        <v>300</v>
      </c>
      <c r="J60" s="46">
        <v>355000</v>
      </c>
      <c r="O60" s="38" t="s">
        <v>247</v>
      </c>
      <c r="P60" s="44">
        <v>165000</v>
      </c>
    </row>
    <row r="61" spans="9:16" ht="14.25" customHeight="1" x14ac:dyDescent="0.2">
      <c r="I61" s="4" t="s">
        <v>301</v>
      </c>
      <c r="J61" s="46">
        <v>239000</v>
      </c>
      <c r="O61" s="38" t="s">
        <v>302</v>
      </c>
      <c r="P61" s="39">
        <v>165000</v>
      </c>
    </row>
    <row r="62" spans="9:16" ht="14.25" customHeight="1" x14ac:dyDescent="0.2">
      <c r="I62" s="4" t="s">
        <v>298</v>
      </c>
      <c r="J62" s="46">
        <v>160000</v>
      </c>
      <c r="O62" s="40" t="s">
        <v>303</v>
      </c>
      <c r="P62" s="39">
        <v>170000</v>
      </c>
    </row>
    <row r="63" spans="9:16" ht="14.25" customHeight="1" x14ac:dyDescent="0.2">
      <c r="I63" s="4" t="s">
        <v>294</v>
      </c>
      <c r="J63" s="46">
        <v>153000</v>
      </c>
      <c r="O63" s="38" t="s">
        <v>265</v>
      </c>
      <c r="P63" s="41">
        <v>172000</v>
      </c>
    </row>
    <row r="64" spans="9:16" ht="14.25" customHeight="1" x14ac:dyDescent="0.2">
      <c r="I64" s="4" t="s">
        <v>304</v>
      </c>
      <c r="J64" s="46">
        <v>239000</v>
      </c>
      <c r="O64" s="40" t="s">
        <v>305</v>
      </c>
      <c r="P64" s="41">
        <v>172000</v>
      </c>
    </row>
    <row r="65" spans="9:16" ht="14.25" customHeight="1" x14ac:dyDescent="0.2">
      <c r="I65" s="4" t="s">
        <v>99</v>
      </c>
      <c r="J65" s="46">
        <v>586000</v>
      </c>
      <c r="O65" s="38" t="s">
        <v>306</v>
      </c>
      <c r="P65" s="39">
        <v>181000</v>
      </c>
    </row>
    <row r="66" spans="9:16" ht="14.25" customHeight="1" x14ac:dyDescent="0.2">
      <c r="I66" s="4" t="s">
        <v>250</v>
      </c>
      <c r="J66" s="46">
        <v>90000</v>
      </c>
      <c r="O66" s="38" t="s">
        <v>297</v>
      </c>
      <c r="P66" s="39">
        <v>183000</v>
      </c>
    </row>
    <row r="67" spans="9:16" ht="14.25" customHeight="1" x14ac:dyDescent="0.2">
      <c r="I67" s="4" t="s">
        <v>248</v>
      </c>
      <c r="J67" s="46">
        <v>87000</v>
      </c>
      <c r="O67" s="40" t="s">
        <v>307</v>
      </c>
      <c r="P67" s="41">
        <v>188000</v>
      </c>
    </row>
    <row r="68" spans="9:16" ht="14.25" customHeight="1" x14ac:dyDescent="0.2">
      <c r="I68" t="s">
        <v>306</v>
      </c>
      <c r="J68" s="46">
        <v>181000</v>
      </c>
      <c r="O68" s="38" t="s">
        <v>295</v>
      </c>
      <c r="P68" s="39">
        <v>201000</v>
      </c>
    </row>
    <row r="69" spans="9:16" ht="14.25" customHeight="1" x14ac:dyDescent="0.2">
      <c r="I69" t="s">
        <v>302</v>
      </c>
      <c r="J69" s="46">
        <v>165000</v>
      </c>
      <c r="O69" s="40" t="s">
        <v>308</v>
      </c>
      <c r="P69" s="41">
        <v>209000</v>
      </c>
    </row>
    <row r="70" spans="9:16" ht="14.25" customHeight="1" x14ac:dyDescent="0.2">
      <c r="I70" t="s">
        <v>309</v>
      </c>
      <c r="J70">
        <v>504000</v>
      </c>
      <c r="O70" s="40" t="s">
        <v>310</v>
      </c>
      <c r="P70" s="39">
        <v>210000</v>
      </c>
    </row>
    <row r="71" spans="9:16" ht="14.25" customHeight="1" x14ac:dyDescent="0.2">
      <c r="I71" t="s">
        <v>311</v>
      </c>
      <c r="J71">
        <v>307000</v>
      </c>
      <c r="O71" s="40" t="s">
        <v>312</v>
      </c>
      <c r="P71" s="41">
        <v>214000</v>
      </c>
    </row>
    <row r="72" spans="9:16" ht="14.25" customHeight="1" x14ac:dyDescent="0.2">
      <c r="I72" t="s">
        <v>240</v>
      </c>
      <c r="J72">
        <v>78000</v>
      </c>
      <c r="O72" s="38" t="s">
        <v>261</v>
      </c>
      <c r="P72" s="44">
        <v>217000</v>
      </c>
    </row>
    <row r="73" spans="9:16" ht="14.25" customHeight="1" x14ac:dyDescent="0.2">
      <c r="I73" t="s">
        <v>277</v>
      </c>
      <c r="J73" s="47">
        <v>111000</v>
      </c>
      <c r="O73" s="38" t="s">
        <v>287</v>
      </c>
      <c r="P73" s="41">
        <v>220000</v>
      </c>
    </row>
    <row r="74" spans="9:16" ht="14.25" customHeight="1" x14ac:dyDescent="0.2">
      <c r="I74" s="46" t="s">
        <v>310</v>
      </c>
      <c r="J74" s="47">
        <v>210000</v>
      </c>
      <c r="O74" s="40" t="s">
        <v>313</v>
      </c>
      <c r="P74" s="39">
        <v>227000</v>
      </c>
    </row>
    <row r="75" spans="9:16" ht="14.25" customHeight="1" x14ac:dyDescent="0.2">
      <c r="I75" s="46" t="s">
        <v>289</v>
      </c>
      <c r="J75" s="47">
        <v>131000</v>
      </c>
      <c r="O75" s="38" t="s">
        <v>293</v>
      </c>
      <c r="P75" s="39">
        <v>231000</v>
      </c>
    </row>
    <row r="76" spans="9:16" ht="14.25" customHeight="1" x14ac:dyDescent="0.2">
      <c r="I76" s="46" t="s">
        <v>286</v>
      </c>
      <c r="J76" s="47">
        <v>130000</v>
      </c>
      <c r="O76" s="38" t="s">
        <v>301</v>
      </c>
      <c r="P76" s="39">
        <v>239000</v>
      </c>
    </row>
    <row r="77" spans="9:16" ht="14.25" customHeight="1" x14ac:dyDescent="0.2">
      <c r="I77" s="46" t="s">
        <v>291</v>
      </c>
      <c r="J77" s="47">
        <v>139000</v>
      </c>
      <c r="O77" s="38" t="s">
        <v>304</v>
      </c>
      <c r="P77" s="39">
        <v>239000</v>
      </c>
    </row>
    <row r="78" spans="9:16" ht="14.25" customHeight="1" x14ac:dyDescent="0.2">
      <c r="I78" s="46" t="s">
        <v>283</v>
      </c>
      <c r="J78" s="47">
        <v>116000</v>
      </c>
      <c r="O78" s="38" t="s">
        <v>243</v>
      </c>
      <c r="P78" s="44">
        <v>247000</v>
      </c>
    </row>
    <row r="79" spans="9:16" ht="14.25" customHeight="1" x14ac:dyDescent="0.2">
      <c r="I79" s="46" t="s">
        <v>270</v>
      </c>
      <c r="J79" s="47">
        <v>104000</v>
      </c>
      <c r="O79" s="38" t="s">
        <v>290</v>
      </c>
      <c r="P79" s="41">
        <v>247000</v>
      </c>
    </row>
    <row r="80" spans="9:16" ht="14.25" customHeight="1" x14ac:dyDescent="0.2">
      <c r="I80" s="46" t="s">
        <v>239</v>
      </c>
      <c r="J80" s="47">
        <v>74000</v>
      </c>
      <c r="O80" s="40" t="s">
        <v>314</v>
      </c>
      <c r="P80" s="41">
        <v>249000</v>
      </c>
    </row>
    <row r="81" spans="9:16" ht="14.25" customHeight="1" x14ac:dyDescent="0.2">
      <c r="I81" s="46" t="s">
        <v>313</v>
      </c>
      <c r="J81" s="47">
        <v>227000</v>
      </c>
      <c r="O81" s="40" t="s">
        <v>315</v>
      </c>
      <c r="P81" s="41">
        <v>260000</v>
      </c>
    </row>
    <row r="82" spans="9:16" ht="14.25" customHeight="1" x14ac:dyDescent="0.2">
      <c r="I82" s="46" t="s">
        <v>303</v>
      </c>
      <c r="J82" s="47">
        <v>170000</v>
      </c>
      <c r="O82" s="38" t="s">
        <v>316</v>
      </c>
      <c r="P82" s="41">
        <v>261000</v>
      </c>
    </row>
    <row r="83" spans="9:16" ht="14.25" customHeight="1" x14ac:dyDescent="0.2">
      <c r="I83" s="46" t="s">
        <v>317</v>
      </c>
      <c r="J83" s="47">
        <v>574000</v>
      </c>
      <c r="O83" s="38" t="s">
        <v>318</v>
      </c>
      <c r="P83" s="41">
        <v>262000</v>
      </c>
    </row>
    <row r="84" spans="9:16" ht="14.25" customHeight="1" x14ac:dyDescent="0.2">
      <c r="I84" s="46" t="s">
        <v>284</v>
      </c>
      <c r="J84" s="47">
        <v>118000</v>
      </c>
      <c r="O84" s="38" t="s">
        <v>282</v>
      </c>
      <c r="P84" s="41">
        <v>287000</v>
      </c>
    </row>
    <row r="85" spans="9:16" ht="14.25" customHeight="1" x14ac:dyDescent="0.2">
      <c r="I85" s="46" t="s">
        <v>281</v>
      </c>
      <c r="J85">
        <v>114000</v>
      </c>
      <c r="O85" s="38" t="s">
        <v>267</v>
      </c>
      <c r="P85" s="41">
        <v>301000</v>
      </c>
    </row>
    <row r="86" spans="9:16" ht="14.25" customHeight="1" x14ac:dyDescent="0.2">
      <c r="I86" s="46" t="s">
        <v>307</v>
      </c>
      <c r="J86">
        <v>188000</v>
      </c>
      <c r="O86" s="38" t="s">
        <v>311</v>
      </c>
      <c r="P86" s="41">
        <v>307000</v>
      </c>
    </row>
    <row r="87" spans="9:16" ht="14.25" customHeight="1" x14ac:dyDescent="0.2">
      <c r="I87" s="46" t="s">
        <v>296</v>
      </c>
      <c r="J87">
        <v>154000</v>
      </c>
      <c r="O87" s="38" t="s">
        <v>263</v>
      </c>
      <c r="P87" s="41">
        <v>308000</v>
      </c>
    </row>
    <row r="88" spans="9:16" ht="14.25" customHeight="1" x14ac:dyDescent="0.2">
      <c r="I88" s="46" t="s">
        <v>314</v>
      </c>
      <c r="J88" s="4">
        <v>249000</v>
      </c>
      <c r="O88" s="38" t="s">
        <v>276</v>
      </c>
      <c r="P88" s="41">
        <v>316000</v>
      </c>
    </row>
    <row r="89" spans="9:16" ht="14.25" customHeight="1" x14ac:dyDescent="0.2">
      <c r="I89" t="s">
        <v>264</v>
      </c>
      <c r="J89" s="4">
        <v>100000</v>
      </c>
      <c r="O89" s="38" t="s">
        <v>111</v>
      </c>
      <c r="P89" s="44">
        <v>331000</v>
      </c>
    </row>
    <row r="90" spans="9:16" ht="14.25" customHeight="1" x14ac:dyDescent="0.2">
      <c r="I90" t="s">
        <v>256</v>
      </c>
      <c r="J90" s="4">
        <v>94000</v>
      </c>
      <c r="O90" s="40" t="s">
        <v>319</v>
      </c>
      <c r="P90" s="41">
        <v>333000</v>
      </c>
    </row>
    <row r="91" spans="9:16" ht="14.25" customHeight="1" x14ac:dyDescent="0.2">
      <c r="I91" t="s">
        <v>244</v>
      </c>
      <c r="J91" s="4">
        <v>84000</v>
      </c>
      <c r="O91" s="38" t="s">
        <v>300</v>
      </c>
      <c r="P91" s="39">
        <v>355000</v>
      </c>
    </row>
    <row r="92" spans="9:16" ht="14.25" customHeight="1" x14ac:dyDescent="0.2">
      <c r="I92" s="48" t="s">
        <v>312</v>
      </c>
      <c r="J92" s="4">
        <v>214000</v>
      </c>
      <c r="O92" s="38" t="s">
        <v>299</v>
      </c>
      <c r="P92" s="39">
        <v>364000</v>
      </c>
    </row>
    <row r="93" spans="9:16" ht="14.25" customHeight="1" x14ac:dyDescent="0.2">
      <c r="I93" s="48" t="s">
        <v>288</v>
      </c>
      <c r="J93" s="4">
        <v>130000</v>
      </c>
      <c r="O93" s="38" t="s">
        <v>309</v>
      </c>
      <c r="P93" s="41">
        <v>504000</v>
      </c>
    </row>
    <row r="94" spans="9:16" ht="14.25" customHeight="1" x14ac:dyDescent="0.2">
      <c r="I94" s="48" t="s">
        <v>262</v>
      </c>
      <c r="J94" s="4">
        <v>96000</v>
      </c>
      <c r="O94" s="38" t="s">
        <v>320</v>
      </c>
      <c r="P94" s="41">
        <v>518000</v>
      </c>
    </row>
    <row r="95" spans="9:16" ht="14.25" customHeight="1" x14ac:dyDescent="0.2">
      <c r="I95" s="48" t="s">
        <v>319</v>
      </c>
      <c r="J95" s="4">
        <v>333000</v>
      </c>
      <c r="O95" s="38" t="s">
        <v>253</v>
      </c>
      <c r="P95" s="44">
        <v>520000</v>
      </c>
    </row>
    <row r="96" spans="9:16" ht="14.25" customHeight="1" x14ac:dyDescent="0.2">
      <c r="I96" s="48" t="s">
        <v>308</v>
      </c>
      <c r="J96">
        <v>209000</v>
      </c>
      <c r="O96" s="38" t="s">
        <v>119</v>
      </c>
      <c r="P96" s="44">
        <v>565000</v>
      </c>
    </row>
    <row r="97" spans="9:16" ht="14.25" customHeight="1" x14ac:dyDescent="0.2">
      <c r="I97" s="48" t="s">
        <v>315</v>
      </c>
      <c r="J97">
        <v>260000</v>
      </c>
      <c r="O97" s="40" t="s">
        <v>317</v>
      </c>
      <c r="P97" s="39">
        <v>574000</v>
      </c>
    </row>
    <row r="98" spans="9:16" ht="14.25" customHeight="1" x14ac:dyDescent="0.2">
      <c r="I98" s="48" t="s">
        <v>285</v>
      </c>
      <c r="J98" s="45">
        <v>125000</v>
      </c>
      <c r="O98" s="38" t="s">
        <v>99</v>
      </c>
      <c r="P98" s="39">
        <v>586000</v>
      </c>
    </row>
    <row r="99" spans="9:16" ht="14.25" customHeight="1" x14ac:dyDescent="0.2">
      <c r="I99" s="48" t="s">
        <v>103</v>
      </c>
      <c r="J99" s="45">
        <v>1024000</v>
      </c>
      <c r="O99" s="38" t="s">
        <v>274</v>
      </c>
      <c r="P99" s="41">
        <v>603000</v>
      </c>
    </row>
    <row r="100" spans="9:16" ht="14.25" customHeight="1" x14ac:dyDescent="0.2">
      <c r="I100" s="48" t="s">
        <v>321</v>
      </c>
      <c r="J100" s="45">
        <v>618000</v>
      </c>
      <c r="O100" s="38" t="s">
        <v>115</v>
      </c>
      <c r="P100" s="41">
        <v>613000</v>
      </c>
    </row>
    <row r="101" spans="9:16" ht="14.25" customHeight="1" x14ac:dyDescent="0.2">
      <c r="I101" s="48" t="s">
        <v>305</v>
      </c>
      <c r="J101" s="45">
        <v>172000</v>
      </c>
      <c r="O101" s="40" t="s">
        <v>321</v>
      </c>
      <c r="P101" s="41">
        <v>618000</v>
      </c>
    </row>
    <row r="102" spans="9:16" ht="14.25" customHeight="1" x14ac:dyDescent="0.2">
      <c r="I102" s="48" t="s">
        <v>260</v>
      </c>
      <c r="J102" s="45">
        <v>95000</v>
      </c>
      <c r="O102" s="38" t="s">
        <v>271</v>
      </c>
      <c r="P102" s="41">
        <v>756000</v>
      </c>
    </row>
    <row r="103" spans="9:16" ht="14.25" customHeight="1" x14ac:dyDescent="0.2">
      <c r="I103" t="s">
        <v>318</v>
      </c>
      <c r="J103" s="45">
        <v>262000</v>
      </c>
      <c r="O103" s="40" t="s">
        <v>103</v>
      </c>
      <c r="P103" s="41">
        <v>1024000</v>
      </c>
    </row>
    <row r="104" spans="9:16" ht="14.25" customHeight="1" x14ac:dyDescent="0.2">
      <c r="I104" t="s">
        <v>316</v>
      </c>
      <c r="J104" s="45">
        <v>261000</v>
      </c>
      <c r="O104" s="38" t="s">
        <v>95</v>
      </c>
      <c r="P104" s="41">
        <v>1505000</v>
      </c>
    </row>
    <row r="105" spans="9:16" ht="14.25" customHeight="1" x14ac:dyDescent="0.2">
      <c r="I105" t="s">
        <v>254</v>
      </c>
      <c r="J105" s="45">
        <v>93000</v>
      </c>
      <c r="O105" s="38" t="s">
        <v>91</v>
      </c>
      <c r="P105" s="41">
        <v>1862000</v>
      </c>
    </row>
    <row r="106" spans="9:16" ht="14.25" customHeight="1" x14ac:dyDescent="0.2">
      <c r="I106" t="s">
        <v>320</v>
      </c>
      <c r="J106">
        <v>518000</v>
      </c>
      <c r="O106" s="38" t="s">
        <v>87</v>
      </c>
      <c r="P106" s="41">
        <v>3685000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81"/>
  <sheetViews>
    <sheetView showGridLines="0" zoomScaleNormal="100" workbookViewId="0">
      <selection activeCell="B4" sqref="B4"/>
    </sheetView>
  </sheetViews>
  <sheetFormatPr baseColWidth="10" defaultColWidth="8.5" defaultRowHeight="15" x14ac:dyDescent="0.2"/>
  <cols>
    <col min="1" max="1" width="2" customWidth="1"/>
    <col min="2" max="2" width="74.5" bestFit="1" customWidth="1"/>
    <col min="3" max="3" width="18" customWidth="1"/>
    <col min="4" max="4" width="7.5" bestFit="1" customWidth="1"/>
    <col min="5" max="5" width="15.5" bestFit="1" customWidth="1"/>
    <col min="6" max="6" width="20" customWidth="1"/>
    <col min="7" max="11" width="14" customWidth="1"/>
    <col min="15" max="15" width="12.83203125" bestFit="1" customWidth="1"/>
    <col min="16" max="16" width="11.83203125" bestFit="1" customWidth="1"/>
    <col min="17" max="18" width="17.33203125" bestFit="1" customWidth="1"/>
  </cols>
  <sheetData>
    <row r="2" spans="2:15" ht="15.75" customHeight="1" x14ac:dyDescent="0.2">
      <c r="B2" s="86" t="s">
        <v>33</v>
      </c>
    </row>
    <row r="3" spans="2:15" ht="16.5" customHeight="1" x14ac:dyDescent="0.2">
      <c r="B3" s="87" t="s">
        <v>503</v>
      </c>
    </row>
    <row r="4" spans="2:15" ht="16.5" customHeight="1" x14ac:dyDescent="0.2">
      <c r="B4" s="87" t="s">
        <v>402</v>
      </c>
    </row>
    <row r="5" spans="2:15" ht="16.5" customHeight="1" x14ac:dyDescent="0.2">
      <c r="B5" s="87" t="s">
        <v>403</v>
      </c>
    </row>
    <row r="6" spans="2:15" ht="16.5" customHeight="1" x14ac:dyDescent="0.2">
      <c r="B6" s="88" t="s">
        <v>404</v>
      </c>
    </row>
    <row r="7" spans="2:15" ht="16.5" customHeight="1" x14ac:dyDescent="0.2"/>
    <row r="8" spans="2:15" ht="16.5" customHeight="1" x14ac:dyDescent="0.2"/>
    <row r="9" spans="2:15" ht="16.5" customHeight="1" x14ac:dyDescent="0.2"/>
    <row r="10" spans="2:15" ht="16.5" customHeight="1" x14ac:dyDescent="0.2"/>
    <row r="11" spans="2:15" ht="16.5" customHeight="1" x14ac:dyDescent="0.2"/>
    <row r="12" spans="2:15" ht="6" customHeight="1" x14ac:dyDescent="0.2"/>
    <row r="13" spans="2:15" x14ac:dyDescent="0.2">
      <c r="E13" t="s">
        <v>406</v>
      </c>
    </row>
    <row r="14" spans="2:15" ht="7.5" customHeight="1" x14ac:dyDescent="0.2"/>
    <row r="15" spans="2:15" x14ac:dyDescent="0.2">
      <c r="E15" s="1" t="s">
        <v>369</v>
      </c>
      <c r="F15" s="1" t="s">
        <v>375</v>
      </c>
      <c r="G15" s="1" t="s">
        <v>326</v>
      </c>
      <c r="H15" s="1" t="s">
        <v>376</v>
      </c>
      <c r="I15" s="1" t="s">
        <v>392</v>
      </c>
      <c r="J15" s="1" t="s">
        <v>393</v>
      </c>
      <c r="K15" s="1" t="s">
        <v>394</v>
      </c>
      <c r="O15" s="77" t="s">
        <v>52</v>
      </c>
    </row>
    <row r="16" spans="2:15" x14ac:dyDescent="0.2">
      <c r="E16" s="78" t="s">
        <v>166</v>
      </c>
      <c r="F16" s="79" t="s">
        <v>339</v>
      </c>
      <c r="G16" s="78" t="s">
        <v>335</v>
      </c>
      <c r="H16" s="80">
        <v>12000</v>
      </c>
      <c r="I16" s="80">
        <f t="shared" ref="I16:I51" si="0">IF(G16="North",H16,0)</f>
        <v>12000</v>
      </c>
      <c r="J16" s="80">
        <f t="shared" ref="J16:J51" si="1">IF(G16="South",H16,0)</f>
        <v>0</v>
      </c>
      <c r="K16" s="81">
        <f t="shared" ref="K16:K51" si="2">I16-J16</f>
        <v>12000</v>
      </c>
    </row>
    <row r="17" spans="5:18" x14ac:dyDescent="0.2">
      <c r="E17" s="78" t="s">
        <v>166</v>
      </c>
      <c r="F17" s="79" t="s">
        <v>339</v>
      </c>
      <c r="G17" s="78" t="s">
        <v>340</v>
      </c>
      <c r="H17" s="80">
        <v>9500</v>
      </c>
      <c r="I17" s="80">
        <f t="shared" si="0"/>
        <v>0</v>
      </c>
      <c r="J17" s="80">
        <f t="shared" si="1"/>
        <v>9500</v>
      </c>
      <c r="K17" s="81">
        <f t="shared" si="2"/>
        <v>-9500</v>
      </c>
      <c r="O17" s="83" t="s">
        <v>396</v>
      </c>
    </row>
    <row r="18" spans="5:18" x14ac:dyDescent="0.2">
      <c r="E18" s="78" t="s">
        <v>166</v>
      </c>
      <c r="F18" s="79" t="s">
        <v>344</v>
      </c>
      <c r="G18" s="78" t="s">
        <v>335</v>
      </c>
      <c r="H18" s="80">
        <v>7000</v>
      </c>
      <c r="I18" s="80">
        <f t="shared" si="0"/>
        <v>7000</v>
      </c>
      <c r="J18" s="80">
        <f t="shared" si="1"/>
        <v>0</v>
      </c>
      <c r="K18" s="81">
        <f t="shared" si="2"/>
        <v>7000</v>
      </c>
      <c r="O18" s="84" t="s">
        <v>397</v>
      </c>
      <c r="P18" s="1" t="s">
        <v>398</v>
      </c>
    </row>
    <row r="19" spans="5:18" x14ac:dyDescent="0.2">
      <c r="E19" s="78" t="s">
        <v>166</v>
      </c>
      <c r="F19" s="79" t="s">
        <v>344</v>
      </c>
      <c r="G19" s="78" t="s">
        <v>340</v>
      </c>
      <c r="H19" s="80">
        <v>6200</v>
      </c>
      <c r="I19" s="80">
        <f t="shared" si="0"/>
        <v>0</v>
      </c>
      <c r="J19" s="80">
        <f t="shared" si="1"/>
        <v>6200</v>
      </c>
      <c r="K19" s="81">
        <f t="shared" si="2"/>
        <v>-6200</v>
      </c>
      <c r="O19" s="78" t="s">
        <v>166</v>
      </c>
      <c r="P19" s="80">
        <v>40700</v>
      </c>
    </row>
    <row r="20" spans="5:18" x14ac:dyDescent="0.2">
      <c r="E20" s="78" t="s">
        <v>166</v>
      </c>
      <c r="F20" s="79" t="s">
        <v>348</v>
      </c>
      <c r="G20" s="78" t="s">
        <v>335</v>
      </c>
      <c r="H20" s="80">
        <v>3200</v>
      </c>
      <c r="I20" s="80">
        <f t="shared" si="0"/>
        <v>3200</v>
      </c>
      <c r="J20" s="80">
        <f t="shared" si="1"/>
        <v>0</v>
      </c>
      <c r="K20" s="81">
        <f t="shared" si="2"/>
        <v>3200</v>
      </c>
      <c r="O20" s="78" t="s">
        <v>370</v>
      </c>
      <c r="P20" s="80">
        <v>43500</v>
      </c>
    </row>
    <row r="21" spans="5:18" x14ac:dyDescent="0.2">
      <c r="E21" s="78" t="s">
        <v>166</v>
      </c>
      <c r="F21" s="79" t="s">
        <v>348</v>
      </c>
      <c r="G21" s="78" t="s">
        <v>340</v>
      </c>
      <c r="H21" s="80">
        <v>2800</v>
      </c>
      <c r="I21" s="80">
        <f t="shared" si="0"/>
        <v>0</v>
      </c>
      <c r="J21" s="80">
        <f t="shared" si="1"/>
        <v>2800</v>
      </c>
      <c r="K21" s="81">
        <f t="shared" si="2"/>
        <v>-2800</v>
      </c>
      <c r="O21" s="78" t="s">
        <v>371</v>
      </c>
      <c r="P21" s="80">
        <v>45800</v>
      </c>
    </row>
    <row r="22" spans="5:18" x14ac:dyDescent="0.2">
      <c r="E22" s="78" t="s">
        <v>370</v>
      </c>
      <c r="F22" s="79" t="s">
        <v>339</v>
      </c>
      <c r="G22" s="78" t="s">
        <v>335</v>
      </c>
      <c r="H22" s="80">
        <v>13500</v>
      </c>
      <c r="I22" s="80">
        <f t="shared" si="0"/>
        <v>13500</v>
      </c>
      <c r="J22" s="80">
        <f t="shared" si="1"/>
        <v>0</v>
      </c>
      <c r="K22" s="81">
        <f t="shared" si="2"/>
        <v>13500</v>
      </c>
      <c r="O22" s="78" t="s">
        <v>372</v>
      </c>
      <c r="P22" s="80">
        <v>48300</v>
      </c>
    </row>
    <row r="23" spans="5:18" x14ac:dyDescent="0.2">
      <c r="E23" s="78" t="s">
        <v>370</v>
      </c>
      <c r="F23" s="79" t="s">
        <v>339</v>
      </c>
      <c r="G23" s="78" t="s">
        <v>340</v>
      </c>
      <c r="H23" s="80">
        <v>9900</v>
      </c>
      <c r="I23" s="80">
        <f t="shared" si="0"/>
        <v>0</v>
      </c>
      <c r="J23" s="80">
        <f t="shared" si="1"/>
        <v>9900</v>
      </c>
      <c r="K23" s="81">
        <f t="shared" si="2"/>
        <v>-9900</v>
      </c>
      <c r="O23" s="78" t="s">
        <v>373</v>
      </c>
      <c r="P23" s="80">
        <v>50700</v>
      </c>
    </row>
    <row r="24" spans="5:18" x14ac:dyDescent="0.2">
      <c r="E24" s="78" t="s">
        <v>370</v>
      </c>
      <c r="F24" s="79" t="s">
        <v>344</v>
      </c>
      <c r="G24" s="78" t="s">
        <v>335</v>
      </c>
      <c r="H24" s="80">
        <v>7200</v>
      </c>
      <c r="I24" s="80">
        <f t="shared" si="0"/>
        <v>7200</v>
      </c>
      <c r="J24" s="80">
        <f t="shared" si="1"/>
        <v>0</v>
      </c>
      <c r="K24" s="81">
        <f t="shared" si="2"/>
        <v>7200</v>
      </c>
      <c r="O24" s="78" t="s">
        <v>374</v>
      </c>
      <c r="P24" s="80">
        <v>53100</v>
      </c>
    </row>
    <row r="25" spans="5:18" x14ac:dyDescent="0.2">
      <c r="E25" s="78" t="s">
        <v>370</v>
      </c>
      <c r="F25" s="79" t="s">
        <v>344</v>
      </c>
      <c r="G25" s="78" t="s">
        <v>340</v>
      </c>
      <c r="H25" s="80">
        <v>6400</v>
      </c>
      <c r="I25" s="80">
        <f t="shared" si="0"/>
        <v>0</v>
      </c>
      <c r="J25" s="80">
        <f t="shared" si="1"/>
        <v>6400</v>
      </c>
      <c r="K25" s="81">
        <f t="shared" si="2"/>
        <v>-6400</v>
      </c>
      <c r="O25" s="84" t="s">
        <v>399</v>
      </c>
      <c r="P25" s="82">
        <f>SUM(P19:P24)</f>
        <v>282100</v>
      </c>
    </row>
    <row r="26" spans="5:18" x14ac:dyDescent="0.2">
      <c r="E26" s="78" t="s">
        <v>370</v>
      </c>
      <c r="F26" s="79" t="s">
        <v>348</v>
      </c>
      <c r="G26" s="78" t="s">
        <v>335</v>
      </c>
      <c r="H26" s="80">
        <v>3500</v>
      </c>
      <c r="I26" s="80">
        <f t="shared" si="0"/>
        <v>3500</v>
      </c>
      <c r="J26" s="80">
        <f t="shared" si="1"/>
        <v>0</v>
      </c>
      <c r="K26" s="81">
        <f t="shared" si="2"/>
        <v>3500</v>
      </c>
    </row>
    <row r="27" spans="5:18" x14ac:dyDescent="0.2">
      <c r="E27" s="78" t="s">
        <v>370</v>
      </c>
      <c r="F27" s="79" t="s">
        <v>348</v>
      </c>
      <c r="G27" s="78" t="s">
        <v>340</v>
      </c>
      <c r="H27" s="80">
        <v>3000</v>
      </c>
      <c r="I27" s="80">
        <f t="shared" si="0"/>
        <v>0</v>
      </c>
      <c r="J27" s="80">
        <f t="shared" si="1"/>
        <v>3000</v>
      </c>
      <c r="K27" s="81">
        <f t="shared" si="2"/>
        <v>-3000</v>
      </c>
    </row>
    <row r="28" spans="5:18" x14ac:dyDescent="0.2">
      <c r="E28" s="78" t="s">
        <v>371</v>
      </c>
      <c r="F28" s="79" t="s">
        <v>339</v>
      </c>
      <c r="G28" s="78" t="s">
        <v>335</v>
      </c>
      <c r="H28" s="80">
        <v>14200</v>
      </c>
      <c r="I28" s="80">
        <f t="shared" si="0"/>
        <v>14200</v>
      </c>
      <c r="J28" s="80">
        <f t="shared" si="1"/>
        <v>0</v>
      </c>
      <c r="K28" s="81">
        <f t="shared" si="2"/>
        <v>14200</v>
      </c>
      <c r="O28" s="83" t="s">
        <v>400</v>
      </c>
    </row>
    <row r="29" spans="5:18" x14ac:dyDescent="0.2">
      <c r="E29" s="78" t="s">
        <v>371</v>
      </c>
      <c r="F29" s="79" t="s">
        <v>339</v>
      </c>
      <c r="G29" s="78" t="s">
        <v>340</v>
      </c>
      <c r="H29" s="80">
        <v>10500</v>
      </c>
      <c r="I29" s="80">
        <f t="shared" si="0"/>
        <v>0</v>
      </c>
      <c r="J29" s="80">
        <f t="shared" si="1"/>
        <v>10500</v>
      </c>
      <c r="K29" s="81">
        <f t="shared" si="2"/>
        <v>-10500</v>
      </c>
      <c r="O29" s="84" t="s">
        <v>401</v>
      </c>
      <c r="P29" s="1" t="s">
        <v>335</v>
      </c>
      <c r="Q29" s="1" t="s">
        <v>340</v>
      </c>
      <c r="R29" s="1" t="s">
        <v>399</v>
      </c>
    </row>
    <row r="30" spans="5:18" x14ac:dyDescent="0.2">
      <c r="E30" s="78" t="s">
        <v>371</v>
      </c>
      <c r="F30" s="79" t="s">
        <v>344</v>
      </c>
      <c r="G30" s="78" t="s">
        <v>335</v>
      </c>
      <c r="H30" s="80">
        <v>7600</v>
      </c>
      <c r="I30" s="80">
        <f t="shared" si="0"/>
        <v>7600</v>
      </c>
      <c r="J30" s="80">
        <f t="shared" si="1"/>
        <v>0</v>
      </c>
      <c r="K30" s="81">
        <f t="shared" si="2"/>
        <v>7600</v>
      </c>
      <c r="O30" s="79" t="s">
        <v>339</v>
      </c>
      <c r="P30" s="80">
        <v>87000</v>
      </c>
      <c r="Q30" s="80">
        <v>65400</v>
      </c>
      <c r="R30" s="85">
        <v>152400</v>
      </c>
    </row>
    <row r="31" spans="5:18" x14ac:dyDescent="0.2">
      <c r="E31" s="78" t="s">
        <v>371</v>
      </c>
      <c r="F31" s="79" t="s">
        <v>344</v>
      </c>
      <c r="G31" s="78" t="s">
        <v>340</v>
      </c>
      <c r="H31" s="80">
        <v>6800</v>
      </c>
      <c r="I31" s="80">
        <f t="shared" si="0"/>
        <v>0</v>
      </c>
      <c r="J31" s="80">
        <f t="shared" si="1"/>
        <v>6800</v>
      </c>
      <c r="K31" s="81">
        <f t="shared" si="2"/>
        <v>-6800</v>
      </c>
      <c r="O31" s="79" t="s">
        <v>344</v>
      </c>
      <c r="P31" s="80">
        <v>46400</v>
      </c>
      <c r="Q31" s="80">
        <v>41600</v>
      </c>
      <c r="R31" s="85">
        <v>88000</v>
      </c>
    </row>
    <row r="32" spans="5:18" x14ac:dyDescent="0.2">
      <c r="E32" s="78" t="s">
        <v>371</v>
      </c>
      <c r="F32" s="79" t="s">
        <v>348</v>
      </c>
      <c r="G32" s="78" t="s">
        <v>335</v>
      </c>
      <c r="H32" s="80">
        <v>3600</v>
      </c>
      <c r="I32" s="80">
        <f t="shared" si="0"/>
        <v>3600</v>
      </c>
      <c r="J32" s="80">
        <f t="shared" si="1"/>
        <v>0</v>
      </c>
      <c r="K32" s="81">
        <f t="shared" si="2"/>
        <v>3600</v>
      </c>
      <c r="O32" s="79" t="s">
        <v>348</v>
      </c>
      <c r="P32" s="80">
        <v>22300</v>
      </c>
      <c r="Q32" s="80">
        <v>19400</v>
      </c>
      <c r="R32" s="85">
        <v>41700</v>
      </c>
    </row>
    <row r="33" spans="5:18" x14ac:dyDescent="0.2">
      <c r="E33" s="78" t="s">
        <v>371</v>
      </c>
      <c r="F33" s="79" t="s">
        <v>348</v>
      </c>
      <c r="G33" s="78" t="s">
        <v>340</v>
      </c>
      <c r="H33" s="80">
        <v>3100</v>
      </c>
      <c r="I33" s="80">
        <f t="shared" si="0"/>
        <v>0</v>
      </c>
      <c r="J33" s="80">
        <f t="shared" si="1"/>
        <v>3100</v>
      </c>
      <c r="K33" s="81">
        <f t="shared" si="2"/>
        <v>-3100</v>
      </c>
      <c r="O33" s="84" t="s">
        <v>399</v>
      </c>
      <c r="P33" s="82">
        <v>155700</v>
      </c>
      <c r="Q33" s="82">
        <v>126400</v>
      </c>
      <c r="R33" s="82">
        <v>282100</v>
      </c>
    </row>
    <row r="34" spans="5:18" x14ac:dyDescent="0.2">
      <c r="E34" s="78" t="s">
        <v>372</v>
      </c>
      <c r="F34" s="79" t="s">
        <v>339</v>
      </c>
      <c r="G34" s="78" t="s">
        <v>335</v>
      </c>
      <c r="H34" s="80">
        <v>15000</v>
      </c>
      <c r="I34" s="80">
        <f t="shared" si="0"/>
        <v>15000</v>
      </c>
      <c r="J34" s="80">
        <f t="shared" si="1"/>
        <v>0</v>
      </c>
      <c r="K34" s="81">
        <f t="shared" si="2"/>
        <v>15000</v>
      </c>
    </row>
    <row r="35" spans="5:18" x14ac:dyDescent="0.2">
      <c r="E35" s="78" t="s">
        <v>372</v>
      </c>
      <c r="F35" s="79" t="s">
        <v>339</v>
      </c>
      <c r="G35" s="78" t="s">
        <v>340</v>
      </c>
      <c r="H35" s="80">
        <v>11200</v>
      </c>
      <c r="I35" s="80">
        <f t="shared" si="0"/>
        <v>0</v>
      </c>
      <c r="J35" s="80">
        <f t="shared" si="1"/>
        <v>11200</v>
      </c>
      <c r="K35" s="81">
        <f t="shared" si="2"/>
        <v>-11200</v>
      </c>
      <c r="O35" s="89"/>
    </row>
    <row r="36" spans="5:18" x14ac:dyDescent="0.2">
      <c r="E36" s="78" t="s">
        <v>372</v>
      </c>
      <c r="F36" s="79" t="s">
        <v>344</v>
      </c>
      <c r="G36" s="78" t="s">
        <v>335</v>
      </c>
      <c r="H36" s="80">
        <v>7900</v>
      </c>
      <c r="I36" s="80">
        <f t="shared" si="0"/>
        <v>7900</v>
      </c>
      <c r="J36" s="80">
        <f t="shared" si="1"/>
        <v>0</v>
      </c>
      <c r="K36" s="81">
        <f t="shared" si="2"/>
        <v>7900</v>
      </c>
      <c r="O36" s="83" t="s">
        <v>405</v>
      </c>
    </row>
    <row r="37" spans="5:18" x14ac:dyDescent="0.2">
      <c r="E37" s="78" t="s">
        <v>372</v>
      </c>
      <c r="F37" s="79" t="s">
        <v>344</v>
      </c>
      <c r="G37" s="78" t="s">
        <v>340</v>
      </c>
      <c r="H37" s="80">
        <v>7100</v>
      </c>
      <c r="I37" s="80">
        <f t="shared" si="0"/>
        <v>0</v>
      </c>
      <c r="J37" s="80">
        <f t="shared" si="1"/>
        <v>7100</v>
      </c>
      <c r="K37" s="81">
        <f t="shared" si="2"/>
        <v>-7100</v>
      </c>
    </row>
    <row r="38" spans="5:18" x14ac:dyDescent="0.2">
      <c r="E38" s="78" t="s">
        <v>372</v>
      </c>
      <c r="F38" s="79" t="s">
        <v>348</v>
      </c>
      <c r="G38" s="78" t="s">
        <v>335</v>
      </c>
      <c r="H38" s="80">
        <v>3800</v>
      </c>
      <c r="I38" s="80">
        <f t="shared" si="0"/>
        <v>3800</v>
      </c>
      <c r="J38" s="80">
        <f t="shared" si="1"/>
        <v>0</v>
      </c>
      <c r="K38" s="81">
        <f t="shared" si="2"/>
        <v>3800</v>
      </c>
    </row>
    <row r="39" spans="5:18" x14ac:dyDescent="0.2">
      <c r="E39" s="78" t="s">
        <v>372</v>
      </c>
      <c r="F39" s="79" t="s">
        <v>348</v>
      </c>
      <c r="G39" s="78" t="s">
        <v>340</v>
      </c>
      <c r="H39" s="80">
        <v>3300</v>
      </c>
      <c r="I39" s="80">
        <f t="shared" si="0"/>
        <v>0</v>
      </c>
      <c r="J39" s="80">
        <f t="shared" si="1"/>
        <v>3300</v>
      </c>
      <c r="K39" s="81">
        <f t="shared" si="2"/>
        <v>-3300</v>
      </c>
    </row>
    <row r="40" spans="5:18" x14ac:dyDescent="0.2">
      <c r="E40" s="78" t="s">
        <v>373</v>
      </c>
      <c r="F40" s="79" t="s">
        <v>339</v>
      </c>
      <c r="G40" s="78" t="s">
        <v>335</v>
      </c>
      <c r="H40" s="80">
        <v>15800</v>
      </c>
      <c r="I40" s="80">
        <f t="shared" si="0"/>
        <v>15800</v>
      </c>
      <c r="J40" s="80">
        <f t="shared" si="1"/>
        <v>0</v>
      </c>
      <c r="K40" s="81">
        <f t="shared" si="2"/>
        <v>15800</v>
      </c>
    </row>
    <row r="41" spans="5:18" x14ac:dyDescent="0.2">
      <c r="E41" s="78" t="s">
        <v>373</v>
      </c>
      <c r="F41" s="79" t="s">
        <v>339</v>
      </c>
      <c r="G41" s="78" t="s">
        <v>340</v>
      </c>
      <c r="H41" s="80">
        <v>11800</v>
      </c>
      <c r="I41" s="80">
        <f t="shared" si="0"/>
        <v>0</v>
      </c>
      <c r="J41" s="80">
        <f t="shared" si="1"/>
        <v>11800</v>
      </c>
      <c r="K41" s="81">
        <f t="shared" si="2"/>
        <v>-11800</v>
      </c>
    </row>
    <row r="42" spans="5:18" x14ac:dyDescent="0.2">
      <c r="E42" s="78" t="s">
        <v>373</v>
      </c>
      <c r="F42" s="79" t="s">
        <v>344</v>
      </c>
      <c r="G42" s="78" t="s">
        <v>335</v>
      </c>
      <c r="H42" s="80">
        <v>8200</v>
      </c>
      <c r="I42" s="80">
        <f t="shared" si="0"/>
        <v>8200</v>
      </c>
      <c r="J42" s="80">
        <f t="shared" si="1"/>
        <v>0</v>
      </c>
      <c r="K42" s="81">
        <f t="shared" si="2"/>
        <v>8200</v>
      </c>
    </row>
    <row r="43" spans="5:18" x14ac:dyDescent="0.2">
      <c r="E43" s="78" t="s">
        <v>373</v>
      </c>
      <c r="F43" s="79" t="s">
        <v>344</v>
      </c>
      <c r="G43" s="78" t="s">
        <v>340</v>
      </c>
      <c r="H43" s="80">
        <v>7400</v>
      </c>
      <c r="I43" s="80">
        <f t="shared" si="0"/>
        <v>0</v>
      </c>
      <c r="J43" s="80">
        <f t="shared" si="1"/>
        <v>7400</v>
      </c>
      <c r="K43" s="81">
        <f t="shared" si="2"/>
        <v>-7400</v>
      </c>
    </row>
    <row r="44" spans="5:18" x14ac:dyDescent="0.2">
      <c r="E44" s="78" t="s">
        <v>373</v>
      </c>
      <c r="F44" s="79" t="s">
        <v>348</v>
      </c>
      <c r="G44" s="78" t="s">
        <v>335</v>
      </c>
      <c r="H44" s="80">
        <v>4000</v>
      </c>
      <c r="I44" s="80">
        <f t="shared" si="0"/>
        <v>4000</v>
      </c>
      <c r="J44" s="80">
        <f t="shared" si="1"/>
        <v>0</v>
      </c>
      <c r="K44" s="81">
        <f t="shared" si="2"/>
        <v>4000</v>
      </c>
    </row>
    <row r="45" spans="5:18" x14ac:dyDescent="0.2">
      <c r="E45" s="78" t="s">
        <v>373</v>
      </c>
      <c r="F45" s="79" t="s">
        <v>348</v>
      </c>
      <c r="G45" s="78" t="s">
        <v>340</v>
      </c>
      <c r="H45" s="80">
        <v>3500</v>
      </c>
      <c r="I45" s="80">
        <f t="shared" si="0"/>
        <v>0</v>
      </c>
      <c r="J45" s="80">
        <f t="shared" si="1"/>
        <v>3500</v>
      </c>
      <c r="K45" s="81">
        <f t="shared" si="2"/>
        <v>-3500</v>
      </c>
    </row>
    <row r="46" spans="5:18" x14ac:dyDescent="0.2">
      <c r="E46" s="78" t="s">
        <v>374</v>
      </c>
      <c r="F46" s="79" t="s">
        <v>339</v>
      </c>
      <c r="G46" s="78" t="s">
        <v>335</v>
      </c>
      <c r="H46" s="80">
        <v>16500</v>
      </c>
      <c r="I46" s="80">
        <f t="shared" si="0"/>
        <v>16500</v>
      </c>
      <c r="J46" s="80">
        <f t="shared" si="1"/>
        <v>0</v>
      </c>
      <c r="K46" s="81">
        <f t="shared" si="2"/>
        <v>16500</v>
      </c>
    </row>
    <row r="47" spans="5:18" x14ac:dyDescent="0.2">
      <c r="E47" s="78" t="s">
        <v>374</v>
      </c>
      <c r="F47" s="79" t="s">
        <v>339</v>
      </c>
      <c r="G47" s="78" t="s">
        <v>340</v>
      </c>
      <c r="H47" s="80">
        <v>12500</v>
      </c>
      <c r="I47" s="80">
        <f t="shared" si="0"/>
        <v>0</v>
      </c>
      <c r="J47" s="80">
        <f t="shared" si="1"/>
        <v>12500</v>
      </c>
      <c r="K47" s="81">
        <f t="shared" si="2"/>
        <v>-12500</v>
      </c>
    </row>
    <row r="48" spans="5:18" x14ac:dyDescent="0.2">
      <c r="E48" s="78" t="s">
        <v>374</v>
      </c>
      <c r="F48" s="79" t="s">
        <v>344</v>
      </c>
      <c r="G48" s="78" t="s">
        <v>335</v>
      </c>
      <c r="H48" s="80">
        <v>8500</v>
      </c>
      <c r="I48" s="80">
        <f t="shared" si="0"/>
        <v>8500</v>
      </c>
      <c r="J48" s="80">
        <f t="shared" si="1"/>
        <v>0</v>
      </c>
      <c r="K48" s="81">
        <f t="shared" si="2"/>
        <v>8500</v>
      </c>
    </row>
    <row r="49" spans="5:11" x14ac:dyDescent="0.2">
      <c r="E49" s="78" t="s">
        <v>374</v>
      </c>
      <c r="F49" s="79" t="s">
        <v>344</v>
      </c>
      <c r="G49" s="78" t="s">
        <v>340</v>
      </c>
      <c r="H49" s="80">
        <v>7700</v>
      </c>
      <c r="I49" s="80">
        <f t="shared" si="0"/>
        <v>0</v>
      </c>
      <c r="J49" s="80">
        <f t="shared" si="1"/>
        <v>7700</v>
      </c>
      <c r="K49" s="81">
        <f t="shared" si="2"/>
        <v>-7700</v>
      </c>
    </row>
    <row r="50" spans="5:11" x14ac:dyDescent="0.2">
      <c r="E50" s="78" t="s">
        <v>374</v>
      </c>
      <c r="F50" s="79" t="s">
        <v>348</v>
      </c>
      <c r="G50" s="78" t="s">
        <v>335</v>
      </c>
      <c r="H50" s="80">
        <v>4200</v>
      </c>
      <c r="I50" s="80">
        <f t="shared" si="0"/>
        <v>4200</v>
      </c>
      <c r="J50" s="80">
        <f t="shared" si="1"/>
        <v>0</v>
      </c>
      <c r="K50" s="81">
        <f t="shared" si="2"/>
        <v>4200</v>
      </c>
    </row>
    <row r="51" spans="5:11" x14ac:dyDescent="0.2">
      <c r="E51" s="78" t="s">
        <v>374</v>
      </c>
      <c r="F51" s="79" t="s">
        <v>348</v>
      </c>
      <c r="G51" s="78" t="s">
        <v>340</v>
      </c>
      <c r="H51" s="80">
        <v>3700</v>
      </c>
      <c r="I51" s="80">
        <f t="shared" si="0"/>
        <v>0</v>
      </c>
      <c r="J51" s="80">
        <f t="shared" si="1"/>
        <v>3700</v>
      </c>
      <c r="K51" s="81">
        <f t="shared" si="2"/>
        <v>-3700</v>
      </c>
    </row>
    <row r="52" spans="5:11" x14ac:dyDescent="0.2">
      <c r="E52" s="136" t="s">
        <v>395</v>
      </c>
      <c r="F52" s="136"/>
      <c r="G52" s="136"/>
      <c r="H52" s="82">
        <f>SUM(H16:H51)</f>
        <v>282100</v>
      </c>
      <c r="I52" s="82">
        <f>SUM(I16:I51)</f>
        <v>155700</v>
      </c>
      <c r="J52" s="82">
        <f>SUM(J16:J51)</f>
        <v>126400</v>
      </c>
      <c r="K52" s="82">
        <f>SUM(K16:K51)</f>
        <v>29300</v>
      </c>
    </row>
    <row r="55" spans="5:11" ht="15.75" customHeight="1" x14ac:dyDescent="0.2"/>
    <row r="57" spans="5:11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</sheetData>
  <mergeCells count="1">
    <mergeCell ref="E52:G5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7"/>
  <sheetViews>
    <sheetView showGridLines="0" topLeftCell="B1" zoomScaleNormal="100" workbookViewId="0">
      <selection activeCell="B3" sqref="B3"/>
    </sheetView>
  </sheetViews>
  <sheetFormatPr baseColWidth="10" defaultColWidth="8.5" defaultRowHeight="15" x14ac:dyDescent="0.2"/>
  <cols>
    <col min="2" max="2" width="74.6640625" bestFit="1" customWidth="1"/>
    <col min="7" max="7" width="10.1640625" customWidth="1"/>
    <col min="8" max="8" width="7.83203125" customWidth="1"/>
    <col min="9" max="9" width="11.83203125" customWidth="1"/>
    <col min="10" max="10" width="5.33203125" customWidth="1"/>
    <col min="13" max="13" width="12.83203125" customWidth="1"/>
    <col min="15" max="15" width="21.1640625" customWidth="1"/>
  </cols>
  <sheetData>
    <row r="2" spans="2:15" ht="14.25" customHeight="1" x14ac:dyDescent="0.2">
      <c r="B2" s="13" t="s">
        <v>33</v>
      </c>
    </row>
    <row r="3" spans="2:15" ht="14.25" customHeight="1" x14ac:dyDescent="0.2">
      <c r="B3" s="5" t="s">
        <v>502</v>
      </c>
      <c r="M3" s="13" t="s">
        <v>225</v>
      </c>
      <c r="O3" s="13" t="s">
        <v>226</v>
      </c>
    </row>
    <row r="4" spans="2:15" ht="14.25" customHeight="1" x14ac:dyDescent="0.2">
      <c r="B4" s="9" t="s">
        <v>227</v>
      </c>
      <c r="M4" s="15"/>
      <c r="O4" s="34"/>
    </row>
    <row r="7" spans="2:15" ht="14.25" customHeight="1" x14ac:dyDescent="0.2">
      <c r="G7" s="13" t="s">
        <v>228</v>
      </c>
      <c r="H7" s="13" t="s">
        <v>229</v>
      </c>
      <c r="I7" s="13" t="s">
        <v>230</v>
      </c>
      <c r="J7" s="13" t="s">
        <v>231</v>
      </c>
    </row>
    <row r="8" spans="2:15" ht="14.25" customHeight="1" x14ac:dyDescent="0.2">
      <c r="G8" s="6">
        <v>1</v>
      </c>
      <c r="H8" s="4">
        <v>8</v>
      </c>
      <c r="I8" s="6">
        <v>15</v>
      </c>
      <c r="J8" s="22">
        <v>120</v>
      </c>
    </row>
    <row r="9" spans="2:15" ht="14.25" customHeight="1" x14ac:dyDescent="0.2">
      <c r="G9" s="8">
        <v>2</v>
      </c>
      <c r="H9" s="4">
        <v>7</v>
      </c>
      <c r="I9" s="8">
        <v>16</v>
      </c>
      <c r="J9" s="24">
        <v>112</v>
      </c>
    </row>
    <row r="10" spans="2:15" ht="14.25" customHeight="1" x14ac:dyDescent="0.2">
      <c r="G10" s="8">
        <v>3</v>
      </c>
      <c r="H10" s="4">
        <v>9</v>
      </c>
      <c r="I10" s="8">
        <v>14</v>
      </c>
      <c r="J10" s="24">
        <v>126</v>
      </c>
    </row>
    <row r="11" spans="2:15" ht="14.25" customHeight="1" x14ac:dyDescent="0.2">
      <c r="G11" s="8">
        <v>4</v>
      </c>
      <c r="H11" s="4">
        <v>8</v>
      </c>
      <c r="I11" s="8">
        <v>18</v>
      </c>
      <c r="J11" s="24">
        <v>144</v>
      </c>
    </row>
    <row r="12" spans="2:15" ht="14.25" customHeight="1" x14ac:dyDescent="0.2">
      <c r="G12" s="8">
        <v>5</v>
      </c>
      <c r="H12" s="4">
        <v>6</v>
      </c>
      <c r="I12" s="8">
        <v>15</v>
      </c>
      <c r="J12" s="24">
        <v>90</v>
      </c>
    </row>
    <row r="13" spans="2:15" ht="14.25" customHeight="1" x14ac:dyDescent="0.2">
      <c r="G13" s="8">
        <v>6</v>
      </c>
      <c r="H13" s="4">
        <v>7</v>
      </c>
      <c r="I13" s="8">
        <v>17</v>
      </c>
      <c r="J13" s="24">
        <v>119</v>
      </c>
    </row>
    <row r="14" spans="2:15" ht="14.25" customHeight="1" x14ac:dyDescent="0.2">
      <c r="G14" s="8">
        <v>7</v>
      </c>
      <c r="H14" s="4">
        <v>8</v>
      </c>
      <c r="I14" s="8">
        <v>16</v>
      </c>
      <c r="J14" s="24">
        <v>128</v>
      </c>
    </row>
    <row r="15" spans="2:15" ht="14.25" customHeight="1" x14ac:dyDescent="0.2">
      <c r="G15" s="8">
        <v>8</v>
      </c>
      <c r="H15" s="4">
        <v>9</v>
      </c>
      <c r="I15" s="8">
        <v>15</v>
      </c>
      <c r="J15" s="24">
        <v>135</v>
      </c>
    </row>
    <row r="16" spans="2:15" ht="14.25" customHeight="1" x14ac:dyDescent="0.2">
      <c r="G16" s="8">
        <v>9</v>
      </c>
      <c r="H16" s="4">
        <v>8</v>
      </c>
      <c r="I16" s="8">
        <v>14</v>
      </c>
      <c r="J16" s="24">
        <v>112</v>
      </c>
    </row>
    <row r="17" spans="7:10" ht="14.25" customHeight="1" x14ac:dyDescent="0.2">
      <c r="G17" s="8">
        <v>10</v>
      </c>
      <c r="H17" s="4">
        <v>7</v>
      </c>
      <c r="I17" s="8">
        <v>18</v>
      </c>
      <c r="J17" s="24">
        <v>126</v>
      </c>
    </row>
    <row r="18" spans="7:10" ht="14.25" customHeight="1" x14ac:dyDescent="0.2">
      <c r="G18" s="8">
        <v>11</v>
      </c>
      <c r="H18" s="4">
        <v>8</v>
      </c>
      <c r="I18" s="8">
        <v>15</v>
      </c>
      <c r="J18" s="24">
        <v>120</v>
      </c>
    </row>
    <row r="19" spans="7:10" ht="14.25" customHeight="1" x14ac:dyDescent="0.2">
      <c r="G19" s="8">
        <v>12</v>
      </c>
      <c r="H19" s="4">
        <v>9</v>
      </c>
      <c r="I19" s="8">
        <v>17</v>
      </c>
      <c r="J19" s="24">
        <v>153</v>
      </c>
    </row>
    <row r="20" spans="7:10" ht="14.25" customHeight="1" x14ac:dyDescent="0.2">
      <c r="G20" s="8">
        <v>13</v>
      </c>
      <c r="H20" s="4">
        <v>6</v>
      </c>
      <c r="I20" s="8">
        <v>14</v>
      </c>
      <c r="J20" s="24">
        <v>84</v>
      </c>
    </row>
    <row r="21" spans="7:10" ht="14.25" customHeight="1" x14ac:dyDescent="0.2">
      <c r="G21" s="8">
        <v>14</v>
      </c>
      <c r="H21" s="4">
        <v>7</v>
      </c>
      <c r="I21" s="8">
        <v>16</v>
      </c>
      <c r="J21" s="24">
        <v>112</v>
      </c>
    </row>
    <row r="22" spans="7:10" ht="14.25" customHeight="1" x14ac:dyDescent="0.2">
      <c r="G22" s="8">
        <v>15</v>
      </c>
      <c r="H22" s="4">
        <v>8</v>
      </c>
      <c r="I22" s="8">
        <v>18</v>
      </c>
      <c r="J22" s="24">
        <v>144</v>
      </c>
    </row>
    <row r="23" spans="7:10" ht="14.25" customHeight="1" x14ac:dyDescent="0.2">
      <c r="G23" s="8">
        <v>16</v>
      </c>
      <c r="H23" s="4">
        <v>9</v>
      </c>
      <c r="I23" s="8">
        <v>15</v>
      </c>
      <c r="J23" s="24">
        <v>135</v>
      </c>
    </row>
    <row r="24" spans="7:10" ht="14.25" customHeight="1" x14ac:dyDescent="0.2">
      <c r="G24" s="8">
        <v>17</v>
      </c>
      <c r="H24" s="4">
        <v>8</v>
      </c>
      <c r="I24" s="8">
        <v>17</v>
      </c>
      <c r="J24" s="24">
        <v>136</v>
      </c>
    </row>
    <row r="25" spans="7:10" ht="14.25" customHeight="1" x14ac:dyDescent="0.2">
      <c r="G25" s="8">
        <v>18</v>
      </c>
      <c r="H25" s="4">
        <v>7</v>
      </c>
      <c r="I25" s="8">
        <v>14</v>
      </c>
      <c r="J25" s="24">
        <v>98</v>
      </c>
    </row>
    <row r="26" spans="7:10" ht="14.25" customHeight="1" x14ac:dyDescent="0.2">
      <c r="G26" s="8">
        <v>19</v>
      </c>
      <c r="H26" s="4">
        <v>6</v>
      </c>
      <c r="I26" s="8">
        <v>16</v>
      </c>
      <c r="J26" s="24">
        <v>96</v>
      </c>
    </row>
    <row r="27" spans="7:10" ht="14.25" customHeight="1" x14ac:dyDescent="0.2">
      <c r="G27" s="10">
        <v>20</v>
      </c>
      <c r="H27" s="10">
        <v>9</v>
      </c>
      <c r="I27" s="10">
        <v>18</v>
      </c>
      <c r="J27" s="29">
        <v>162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35"/>
  <sheetViews>
    <sheetView showGridLines="0" zoomScaleNormal="100" workbookViewId="0">
      <selection activeCell="A9" sqref="A9"/>
    </sheetView>
  </sheetViews>
  <sheetFormatPr baseColWidth="10" defaultColWidth="8.5" defaultRowHeight="15" x14ac:dyDescent="0.2"/>
  <cols>
    <col min="1" max="1" width="2" customWidth="1"/>
    <col min="2" max="2" width="78.1640625" customWidth="1"/>
    <col min="3" max="3" width="18" customWidth="1"/>
    <col min="4" max="4" width="4" customWidth="1"/>
    <col min="5" max="5" width="12" customWidth="1"/>
    <col min="6" max="6" width="8" customWidth="1"/>
    <col min="7" max="7" width="9" customWidth="1"/>
    <col min="8" max="8" width="8" customWidth="1"/>
    <col min="9" max="9" width="15" customWidth="1"/>
    <col min="10" max="10" width="16" customWidth="1"/>
    <col min="11" max="11" width="10.1640625" customWidth="1"/>
    <col min="12" max="12" width="4.5" customWidth="1"/>
    <col min="13" max="13" width="7.6640625" customWidth="1"/>
    <col min="14" max="14" width="5.5" customWidth="1"/>
    <col min="15" max="15" width="10.83203125" customWidth="1"/>
  </cols>
  <sheetData>
    <row r="2" spans="2:15" ht="15" customHeight="1" x14ac:dyDescent="0.2">
      <c r="B2" s="63" t="s">
        <v>33</v>
      </c>
    </row>
    <row r="3" spans="2:15" ht="15.75" customHeight="1" x14ac:dyDescent="0.2">
      <c r="B3" s="64" t="s">
        <v>377</v>
      </c>
    </row>
    <row r="4" spans="2:15" ht="15.75" customHeight="1" x14ac:dyDescent="0.2">
      <c r="B4" s="64" t="s">
        <v>378</v>
      </c>
    </row>
    <row r="5" spans="2:15" ht="15.75" customHeight="1" x14ac:dyDescent="0.2">
      <c r="B5" s="64" t="s">
        <v>379</v>
      </c>
    </row>
    <row r="6" spans="2:15" ht="15.75" customHeight="1" x14ac:dyDescent="0.2">
      <c r="B6" s="64" t="s">
        <v>380</v>
      </c>
    </row>
    <row r="7" spans="2:15" ht="15.75" customHeight="1" x14ac:dyDescent="0.2">
      <c r="B7" s="65" t="s">
        <v>381</v>
      </c>
      <c r="K7" s="67" t="s">
        <v>382</v>
      </c>
    </row>
    <row r="8" spans="2:15" ht="15.75" customHeight="1" x14ac:dyDescent="0.2"/>
    <row r="9" spans="2:15" ht="15" customHeight="1" x14ac:dyDescent="0.2">
      <c r="B9" s="63" t="s">
        <v>33</v>
      </c>
      <c r="C9" s="66" t="s">
        <v>36</v>
      </c>
      <c r="E9" s="70" t="s">
        <v>385</v>
      </c>
      <c r="F9" s="70" t="s">
        <v>386</v>
      </c>
      <c r="G9" s="70" t="s">
        <v>387</v>
      </c>
      <c r="H9" s="70" t="s">
        <v>388</v>
      </c>
      <c r="I9" s="70" t="s">
        <v>389</v>
      </c>
      <c r="K9" s="70" t="s">
        <v>385</v>
      </c>
      <c r="L9" s="70" t="s">
        <v>386</v>
      </c>
      <c r="M9" s="70" t="s">
        <v>387</v>
      </c>
      <c r="N9" s="70" t="s">
        <v>388</v>
      </c>
      <c r="O9" s="70" t="s">
        <v>389</v>
      </c>
    </row>
    <row r="10" spans="2:15" ht="15" customHeight="1" x14ac:dyDescent="0.2">
      <c r="B10" s="68" t="s">
        <v>383</v>
      </c>
      <c r="C10" s="69"/>
      <c r="E10" s="72"/>
      <c r="F10" s="73"/>
      <c r="G10" s="73"/>
      <c r="H10" s="73"/>
      <c r="I10" s="74"/>
      <c r="K10" s="72">
        <v>46023</v>
      </c>
      <c r="L10" s="73">
        <v>1</v>
      </c>
      <c r="M10" s="73">
        <v>1</v>
      </c>
      <c r="N10" s="73">
        <v>2026</v>
      </c>
      <c r="O10" s="74" t="s">
        <v>492</v>
      </c>
    </row>
    <row r="11" spans="2:15" ht="15" customHeight="1" x14ac:dyDescent="0.2">
      <c r="B11" s="68" t="s">
        <v>384</v>
      </c>
      <c r="C11" s="69"/>
      <c r="E11" s="72"/>
      <c r="F11" s="73"/>
      <c r="G11" s="73"/>
      <c r="H11" s="73"/>
      <c r="I11" s="74"/>
      <c r="K11" s="72">
        <v>46054</v>
      </c>
      <c r="L11" s="73">
        <v>1</v>
      </c>
      <c r="M11" s="73">
        <v>2</v>
      </c>
      <c r="N11" s="73">
        <v>2026</v>
      </c>
      <c r="O11" s="74" t="s">
        <v>493</v>
      </c>
    </row>
    <row r="12" spans="2:15" ht="15" customHeight="1" x14ac:dyDescent="0.2">
      <c r="B12" s="68" t="s">
        <v>390</v>
      </c>
      <c r="C12" s="71"/>
      <c r="E12" s="72"/>
      <c r="F12" s="73"/>
      <c r="G12" s="73"/>
      <c r="H12" s="73"/>
      <c r="I12" s="74"/>
      <c r="K12" s="72">
        <v>46082</v>
      </c>
      <c r="L12" s="73">
        <v>1</v>
      </c>
      <c r="M12" s="73">
        <v>3</v>
      </c>
      <c r="N12" s="73">
        <v>2026</v>
      </c>
      <c r="O12" s="74" t="s">
        <v>493</v>
      </c>
    </row>
    <row r="13" spans="2:15" ht="15" customHeight="1" x14ac:dyDescent="0.2">
      <c r="B13" s="75" t="s">
        <v>391</v>
      </c>
      <c r="C13" s="76"/>
      <c r="E13" s="72"/>
      <c r="F13" s="73"/>
      <c r="G13" s="73"/>
      <c r="H13" s="73"/>
      <c r="I13" s="74"/>
      <c r="K13" s="72">
        <v>46113</v>
      </c>
      <c r="L13" s="73">
        <v>1</v>
      </c>
      <c r="M13" s="73">
        <v>4</v>
      </c>
      <c r="N13" s="73">
        <v>2026</v>
      </c>
      <c r="O13" s="74" t="s">
        <v>494</v>
      </c>
    </row>
    <row r="14" spans="2:15" ht="15" customHeight="1" x14ac:dyDescent="0.2">
      <c r="E14" s="72"/>
      <c r="F14" s="73"/>
      <c r="G14" s="73"/>
      <c r="H14" s="73"/>
      <c r="I14" s="74"/>
      <c r="K14" s="72">
        <v>46143</v>
      </c>
      <c r="L14" s="73">
        <v>1</v>
      </c>
      <c r="M14" s="73">
        <v>5</v>
      </c>
      <c r="N14" s="73">
        <v>2026</v>
      </c>
      <c r="O14" s="74" t="s">
        <v>495</v>
      </c>
    </row>
    <row r="15" spans="2:15" ht="15" customHeight="1" x14ac:dyDescent="0.2">
      <c r="E15" s="72"/>
      <c r="F15" s="73"/>
      <c r="G15" s="73"/>
      <c r="H15" s="73"/>
      <c r="I15" s="74"/>
      <c r="K15" s="72">
        <v>46174</v>
      </c>
      <c r="L15" s="73">
        <v>1</v>
      </c>
      <c r="M15" s="73">
        <v>6</v>
      </c>
      <c r="N15" s="73">
        <v>2026</v>
      </c>
      <c r="O15" s="74" t="s">
        <v>496</v>
      </c>
    </row>
    <row r="16" spans="2:15" ht="15" customHeight="1" x14ac:dyDescent="0.2">
      <c r="E16" s="72"/>
      <c r="F16" s="73"/>
      <c r="G16" s="73"/>
      <c r="H16" s="73"/>
      <c r="I16" s="74"/>
      <c r="K16" s="72">
        <v>46204</v>
      </c>
      <c r="L16" s="73">
        <v>1</v>
      </c>
      <c r="M16" s="73">
        <v>7</v>
      </c>
      <c r="N16" s="73">
        <v>2026</v>
      </c>
      <c r="O16" s="74" t="s">
        <v>494</v>
      </c>
    </row>
    <row r="17" spans="5:15" ht="15" customHeight="1" x14ac:dyDescent="0.2">
      <c r="E17" s="72"/>
      <c r="F17" s="73"/>
      <c r="G17" s="73"/>
      <c r="H17" s="73"/>
      <c r="I17" s="74"/>
      <c r="K17" s="72">
        <v>46235</v>
      </c>
      <c r="L17" s="73">
        <v>1</v>
      </c>
      <c r="M17" s="73">
        <v>8</v>
      </c>
      <c r="N17" s="73">
        <v>2026</v>
      </c>
      <c r="O17" s="74" t="s">
        <v>497</v>
      </c>
    </row>
    <row r="18" spans="5:15" ht="15" customHeight="1" x14ac:dyDescent="0.2">
      <c r="E18" s="72"/>
      <c r="F18" s="73"/>
      <c r="G18" s="73"/>
      <c r="H18" s="73"/>
      <c r="I18" s="74"/>
      <c r="K18" s="72">
        <v>46266</v>
      </c>
      <c r="L18" s="73">
        <v>1</v>
      </c>
      <c r="M18" s="73">
        <v>9</v>
      </c>
      <c r="N18" s="73">
        <v>2026</v>
      </c>
      <c r="O18" s="74" t="s">
        <v>498</v>
      </c>
    </row>
    <row r="19" spans="5:15" ht="15" customHeight="1" x14ac:dyDescent="0.2">
      <c r="E19" s="72"/>
      <c r="F19" s="73"/>
      <c r="G19" s="73"/>
      <c r="H19" s="73"/>
      <c r="I19" s="74"/>
      <c r="K19" s="72">
        <v>46296</v>
      </c>
      <c r="L19" s="73">
        <v>1</v>
      </c>
      <c r="M19" s="73">
        <v>10</v>
      </c>
      <c r="N19" s="73">
        <v>2026</v>
      </c>
      <c r="O19" s="74" t="s">
        <v>492</v>
      </c>
    </row>
    <row r="20" spans="5:15" ht="15" customHeight="1" x14ac:dyDescent="0.2">
      <c r="E20" s="72"/>
      <c r="F20" s="73"/>
      <c r="G20" s="73"/>
      <c r="H20" s="73"/>
      <c r="I20" s="74"/>
      <c r="K20" s="72">
        <v>46327</v>
      </c>
      <c r="L20" s="73">
        <v>1</v>
      </c>
      <c r="M20" s="73">
        <v>11</v>
      </c>
      <c r="N20" s="73">
        <v>2026</v>
      </c>
      <c r="O20" s="74" t="s">
        <v>493</v>
      </c>
    </row>
    <row r="21" spans="5:15" ht="15" customHeight="1" x14ac:dyDescent="0.2">
      <c r="E21" s="72"/>
      <c r="F21" s="73"/>
      <c r="G21" s="73"/>
      <c r="H21" s="73"/>
      <c r="I21" s="74"/>
      <c r="K21" s="72">
        <v>46357</v>
      </c>
      <c r="L21" s="73">
        <v>1</v>
      </c>
      <c r="M21" s="73">
        <v>12</v>
      </c>
      <c r="N21" s="73">
        <v>2026</v>
      </c>
      <c r="O21" s="74" t="s">
        <v>498</v>
      </c>
    </row>
    <row r="22" spans="5:15" ht="15" customHeight="1" x14ac:dyDescent="0.2"/>
    <row r="23" spans="5:15" ht="15" customHeight="1" x14ac:dyDescent="0.2"/>
    <row r="26" spans="5:15" ht="15" customHeight="1" x14ac:dyDescent="0.2"/>
    <row r="27" spans="5:15" ht="15" customHeight="1" x14ac:dyDescent="0.2"/>
    <row r="28" spans="5:15" ht="27.75" customHeight="1" x14ac:dyDescent="0.2"/>
    <row r="29" spans="5:15" ht="15" customHeight="1" x14ac:dyDescent="0.2"/>
    <row r="30" spans="5:15" ht="27.75" customHeight="1" x14ac:dyDescent="0.2"/>
    <row r="31" spans="5:15" ht="15" customHeight="1" x14ac:dyDescent="0.2"/>
    <row r="32" spans="5:15" ht="15" customHeight="1" x14ac:dyDescent="0.2"/>
    <row r="33" ht="15" customHeight="1" x14ac:dyDescent="0.2"/>
    <row r="34" ht="15" customHeight="1" x14ac:dyDescent="0.2"/>
    <row r="35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Shortcuts</vt:lpstr>
      <vt:lpstr>Basisfunktionen</vt:lpstr>
      <vt:lpstr>Formatting &amp; LOOKUP</vt:lpstr>
      <vt:lpstr>Text to Columns</vt:lpstr>
      <vt:lpstr>Zielwertsuche</vt:lpstr>
      <vt:lpstr>Suchen &amp; Ersetzen</vt:lpstr>
      <vt:lpstr>TP</vt:lpstr>
      <vt:lpstr>Tabelle</vt:lpstr>
      <vt:lpstr>Pivot &amp; PivotCharts</vt:lpstr>
      <vt:lpstr>List</vt:lpstr>
      <vt:lpstr>Datum &amp;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Frederic Bartz</dc:creator>
  <dc:description/>
  <cp:lastModifiedBy>Klaus, Alexander</cp:lastModifiedBy>
  <cp:revision>4</cp:revision>
  <dcterms:created xsi:type="dcterms:W3CDTF">2026-03-15T14:03:28Z</dcterms:created>
  <dcterms:modified xsi:type="dcterms:W3CDTF">2026-03-24T23:56:21Z</dcterms:modified>
  <dc:language>en-US</dc:language>
</cp:coreProperties>
</file>