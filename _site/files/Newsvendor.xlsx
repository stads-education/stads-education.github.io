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mannheimde-my.sharepoint.com/personal/tbreiten_ad_uni-mannheim_de/Documents/Teaching/HWS 2025/Produktion/"/>
    </mc:Choice>
  </mc:AlternateContent>
  <xr:revisionPtr revIDLastSave="11" documentId="13_ncr:1_{2458E1DE-D79E-4AE7-8A26-F981A8C26010}" xr6:coauthVersionLast="47" xr6:coauthVersionMax="47" xr10:uidLastSave="{ACC5FAF2-4546-EA41-BAE3-FF26AF0B4C9D}"/>
  <bookViews>
    <workbookView xWindow="0" yWindow="680" windowWidth="30240" windowHeight="18960" xr2:uid="{00000000-000D-0000-FFFF-FFFF00000000}"/>
  </bookViews>
  <sheets>
    <sheet name="Diskrete Nachfrageverteilung" sheetId="1" r:id="rId1"/>
    <sheet name="Normalverteile Nachfrage" sheetId="3" r:id="rId2"/>
  </sheets>
  <definedNames>
    <definedName name="solver_adj" localSheetId="0" hidden="1">'Diskrete Nachfrageverteilung'!$C$14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'Diskrete Nachfrageverteilung'!$C$14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'Diskrete Nachfrageverteilung'!$C$15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hs1" localSheetId="0" hidden="1">"integer"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3" l="1"/>
  <c r="C12" i="3" l="1"/>
  <c r="C14" i="3" s="1"/>
  <c r="C18" i="3" s="1"/>
  <c r="C19" i="3" s="1"/>
  <c r="C13" i="3"/>
  <c r="C9" i="1"/>
  <c r="C11" i="1" s="1"/>
  <c r="C10" i="1"/>
  <c r="C19" i="1"/>
  <c r="C20" i="1" s="1"/>
  <c r="C21" i="1" s="1"/>
  <c r="E22" i="1" s="1"/>
  <c r="F19" i="1"/>
  <c r="G19" i="1"/>
  <c r="H19" i="1"/>
  <c r="F20" i="1"/>
  <c r="G20" i="1"/>
  <c r="H20" i="1"/>
  <c r="A21" i="1"/>
  <c r="F21" i="1"/>
  <c r="H21" i="1"/>
  <c r="A22" i="1"/>
  <c r="H22" i="1" s="1"/>
  <c r="F22" i="1"/>
  <c r="G21" i="1"/>
  <c r="E19" i="1" l="1"/>
  <c r="A23" i="1"/>
  <c r="G23" i="1" s="1"/>
  <c r="E20" i="1"/>
  <c r="E21" i="1"/>
  <c r="I20" i="1"/>
  <c r="I21" i="1"/>
  <c r="I19" i="1"/>
  <c r="G22" i="1"/>
  <c r="I22" i="1" s="1"/>
  <c r="C22" i="1"/>
  <c r="E23" i="1" s="1"/>
  <c r="A24" i="1" l="1"/>
  <c r="F23" i="1"/>
  <c r="H23" i="1"/>
  <c r="C23" i="1"/>
  <c r="E24" i="1" s="1"/>
  <c r="I23" i="1" l="1"/>
  <c r="G24" i="1"/>
  <c r="F24" i="1"/>
  <c r="H24" i="1"/>
  <c r="A25" i="1"/>
  <c r="C24" i="1"/>
  <c r="E25" i="1" s="1"/>
  <c r="F25" i="1" l="1"/>
  <c r="G25" i="1"/>
  <c r="H25" i="1"/>
  <c r="A26" i="1"/>
  <c r="I24" i="1"/>
  <c r="C25" i="1"/>
  <c r="E26" i="1" s="1"/>
  <c r="A27" i="1" l="1"/>
  <c r="G26" i="1"/>
  <c r="F26" i="1"/>
  <c r="H26" i="1"/>
  <c r="I25" i="1"/>
  <c r="C26" i="1"/>
  <c r="E27" i="1" s="1"/>
  <c r="H27" i="1" l="1"/>
  <c r="G27" i="1"/>
  <c r="A28" i="1"/>
  <c r="F27" i="1"/>
  <c r="I26" i="1"/>
  <c r="C27" i="1"/>
  <c r="E28" i="1" s="1"/>
  <c r="I27" i="1" l="1"/>
  <c r="F28" i="1"/>
  <c r="G28" i="1"/>
  <c r="G29" i="1" s="1"/>
  <c r="H28" i="1"/>
  <c r="H29" i="1" s="1"/>
  <c r="C12" i="1"/>
  <c r="C28" i="1"/>
  <c r="C16" i="1" l="1"/>
  <c r="C15" i="1"/>
  <c r="I28" i="1"/>
  <c r="I29" i="1" s="1"/>
  <c r="F29" i="1"/>
</calcChain>
</file>

<file path=xl/sharedStrings.xml><?xml version="1.0" encoding="utf-8"?>
<sst xmlns="http://schemas.openxmlformats.org/spreadsheetml/2006/main" count="62" uniqueCount="41">
  <si>
    <t>p</t>
  </si>
  <si>
    <t>cu</t>
  </si>
  <si>
    <t>co</t>
  </si>
  <si>
    <t>Q</t>
  </si>
  <si>
    <t>cu/(co+cu)</t>
  </si>
  <si>
    <t>Data</t>
  </si>
  <si>
    <t>P</t>
  </si>
  <si>
    <t>c</t>
  </si>
  <si>
    <t>s</t>
  </si>
  <si>
    <t>b</t>
  </si>
  <si>
    <t>m</t>
  </si>
  <si>
    <t>z</t>
  </si>
  <si>
    <t>Newsvendor Modell</t>
  </si>
  <si>
    <t>Daten</t>
  </si>
  <si>
    <t>Einlaufspreis</t>
  </si>
  <si>
    <t>Verlaufspreis</t>
  </si>
  <si>
    <t>Restwert</t>
  </si>
  <si>
    <t>Strafzahlung</t>
  </si>
  <si>
    <t>Underage Cost</t>
  </si>
  <si>
    <t>Overage Cost</t>
  </si>
  <si>
    <t>Critical Fractile</t>
  </si>
  <si>
    <t>Erwartete Nachfrage</t>
  </si>
  <si>
    <t>E[x]</t>
  </si>
  <si>
    <t>Bestellmenge</t>
  </si>
  <si>
    <t>Erwarteter Profit</t>
  </si>
  <si>
    <t>Sicherheitsbestand</t>
  </si>
  <si>
    <t>SB</t>
  </si>
  <si>
    <t>Nachfrage (in 100)</t>
  </si>
  <si>
    <t>P(D=Q)</t>
  </si>
  <si>
    <r>
      <t>P(D</t>
    </r>
    <r>
      <rPr>
        <b/>
        <sz val="11"/>
        <rFont val="Symbol"/>
        <family val="1"/>
        <charset val="2"/>
      </rPr>
      <t>£</t>
    </r>
    <r>
      <rPr>
        <b/>
        <sz val="11"/>
        <rFont val="Arial"/>
        <family val="2"/>
      </rPr>
      <t>Q)</t>
    </r>
  </si>
  <si>
    <t>Verkauf</t>
  </si>
  <si>
    <t>Fehlmenge</t>
  </si>
  <si>
    <t>Überschuss</t>
  </si>
  <si>
    <t>Profit</t>
  </si>
  <si>
    <t>Erwartungswerte</t>
  </si>
  <si>
    <t>St.abw. Nachfrage</t>
  </si>
  <si>
    <t>Relevante Kosten</t>
  </si>
  <si>
    <t>Entscheidung</t>
  </si>
  <si>
    <t>Sicherheitsfaktor</t>
  </si>
  <si>
    <t>Marginaler Profit dieser Einheit</t>
  </si>
  <si>
    <t>Bestellmenge (in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</si>
</sst>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"/>
  </numFmts>
  <fonts count="6" x14ac:knownFonts="1">
    <font>
      <sz val="10"/>
      <name val="Arial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Symbol"/>
      <family val="1"/>
      <charset val="2"/>
    </font>
    <font>
      <b/>
      <sz val="11"/>
      <name val="Symbol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3" xfId="0" applyFont="1" applyBorder="1"/>
    <xf numFmtId="0" fontId="4" fillId="0" borderId="0" xfId="0" applyFont="1"/>
    <xf numFmtId="0" fontId="3" fillId="0" borderId="10" xfId="0" applyFont="1" applyBorder="1"/>
    <xf numFmtId="0" fontId="3" fillId="0" borderId="4" xfId="0" applyFont="1" applyBorder="1"/>
    <xf numFmtId="0" fontId="3" fillId="0" borderId="1" xfId="0" applyFont="1" applyBorder="1"/>
    <xf numFmtId="0" fontId="3" fillId="0" borderId="11" xfId="0" applyFont="1" applyBorder="1"/>
    <xf numFmtId="165" fontId="3" fillId="0" borderId="0" xfId="0" applyNumberFormat="1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/>
    <xf numFmtId="1" fontId="3" fillId="0" borderId="0" xfId="0" applyNumberFormat="1" applyFont="1"/>
    <xf numFmtId="166" fontId="3" fillId="0" borderId="0" xfId="0" applyNumberFormat="1" applyFont="1"/>
    <xf numFmtId="166" fontId="3" fillId="2" borderId="0" xfId="0" applyNumberFormat="1" applyFont="1" applyFill="1"/>
    <xf numFmtId="0" fontId="2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2" xfId="0" applyFont="1" applyBorder="1"/>
    <xf numFmtId="0" fontId="3" fillId="0" borderId="9" xfId="0" applyFont="1" applyBorder="1"/>
    <xf numFmtId="2" fontId="3" fillId="0" borderId="0" xfId="0" applyNumberFormat="1" applyFont="1"/>
    <xf numFmtId="0" fontId="3" fillId="2" borderId="0" xfId="0" applyFont="1" applyFill="1"/>
    <xf numFmtId="2" fontId="3" fillId="3" borderId="0" xfId="0" applyNumberFormat="1" applyFont="1" applyFill="1"/>
    <xf numFmtId="2" fontId="3" fillId="0" borderId="16" xfId="0" applyNumberFormat="1" applyFont="1" applyBorder="1"/>
    <xf numFmtId="0" fontId="2" fillId="4" borderId="3" xfId="0" applyFont="1" applyFill="1" applyBorder="1"/>
    <xf numFmtId="0" fontId="3" fillId="4" borderId="0" xfId="0" applyFont="1" applyFill="1"/>
    <xf numFmtId="0" fontId="3" fillId="4" borderId="16" xfId="0" applyFont="1" applyFill="1" applyBorder="1"/>
    <xf numFmtId="2" fontId="3" fillId="0" borderId="10" xfId="0" applyNumberFormat="1" applyFont="1" applyBorder="1"/>
    <xf numFmtId="2" fontId="3" fillId="0" borderId="11" xfId="0" applyNumberFormat="1" applyFont="1" applyBorder="1"/>
    <xf numFmtId="0" fontId="3" fillId="0" borderId="18" xfId="0" applyFont="1" applyBorder="1"/>
    <xf numFmtId="0" fontId="3" fillId="0" borderId="19" xfId="0" applyFont="1" applyBorder="1"/>
    <xf numFmtId="2" fontId="3" fillId="0" borderId="21" xfId="0" applyNumberFormat="1" applyFont="1" applyBorder="1"/>
    <xf numFmtId="2" fontId="3" fillId="0" borderId="22" xfId="0" applyNumberFormat="1" applyFont="1" applyBorder="1"/>
    <xf numFmtId="0" fontId="2" fillId="0" borderId="17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" fontId="3" fillId="0" borderId="1" xfId="0" applyNumberFormat="1" applyFont="1" applyBorder="1"/>
    <xf numFmtId="0" fontId="3" fillId="0" borderId="15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1" fontId="3" fillId="0" borderId="18" xfId="0" applyNumberFormat="1" applyFont="1" applyBorder="1"/>
    <xf numFmtId="1" fontId="3" fillId="5" borderId="18" xfId="0" applyNumberFormat="1" applyFont="1" applyFill="1" applyBorder="1"/>
    <xf numFmtId="2" fontId="3" fillId="5" borderId="16" xfId="0" applyNumberFormat="1" applyFont="1" applyFill="1" applyBorder="1"/>
    <xf numFmtId="1" fontId="3" fillId="5" borderId="19" xfId="0" applyNumberFormat="1" applyFont="1" applyFill="1" applyBorder="1"/>
    <xf numFmtId="2" fontId="3" fillId="5" borderId="15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Nachfrageverteilung</a:t>
            </a:r>
          </a:p>
        </c:rich>
      </c:tx>
      <c:layout>
        <c:manualLayout>
          <c:xMode val="edge"/>
          <c:yMode val="edge"/>
          <c:x val="0.32439033713018883"/>
          <c:y val="3.7931095306635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85365853658537"/>
          <c:y val="0.15862068965517243"/>
          <c:w val="0.8"/>
          <c:h val="0.67586206896551726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'Diskrete Nachfrageverteilung'!$A$19:$A$28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'Diskrete Nachfrageverteilung'!$B$19:$B$28</c:f>
              <c:numCache>
                <c:formatCode>0.00</c:formatCode>
                <c:ptCount val="10"/>
                <c:pt idx="0">
                  <c:v>0.04</c:v>
                </c:pt>
                <c:pt idx="1">
                  <c:v>0.05</c:v>
                </c:pt>
                <c:pt idx="2">
                  <c:v>0.1</c:v>
                </c:pt>
                <c:pt idx="3">
                  <c:v>0.19</c:v>
                </c:pt>
                <c:pt idx="4">
                  <c:v>0.25</c:v>
                </c:pt>
                <c:pt idx="5">
                  <c:v>0.17</c:v>
                </c:pt>
                <c:pt idx="6">
                  <c:v>0.1</c:v>
                </c:pt>
                <c:pt idx="7">
                  <c:v>0.05</c:v>
                </c:pt>
                <c:pt idx="8">
                  <c:v>0.03</c:v>
                </c:pt>
                <c:pt idx="9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E-48A6-ABA1-AFF1A89B6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440672"/>
        <c:axId val="1"/>
      </c:barChart>
      <c:catAx>
        <c:axId val="1410440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Einheiten (x 100)</a:t>
                </a:r>
              </a:p>
            </c:rich>
          </c:tx>
          <c:layout>
            <c:manualLayout>
              <c:xMode val="edge"/>
              <c:yMode val="edge"/>
              <c:x val="0.47804882399408816"/>
              <c:y val="0.913792933141421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Wahrscheinlichkeit</a:t>
                </a:r>
              </a:p>
            </c:rich>
          </c:tx>
          <c:layout>
            <c:manualLayout>
              <c:xMode val="edge"/>
              <c:yMode val="edge"/>
              <c:x val="3.9024284585786002E-2"/>
              <c:y val="0.3896551237546919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1044067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0</xdr:row>
      <xdr:rowOff>85725</xdr:rowOff>
    </xdr:from>
    <xdr:to>
      <xdr:col>9</xdr:col>
      <xdr:colOff>66675</xdr:colOff>
      <xdr:row>16</xdr:row>
      <xdr:rowOff>104775</xdr:rowOff>
    </xdr:to>
    <xdr:graphicFrame macro="">
      <xdr:nvGraphicFramePr>
        <xdr:cNvPr id="1046" name="Chart 1">
          <a:extLst>
            <a:ext uri="{FF2B5EF4-FFF2-40B4-BE49-F238E27FC236}">
              <a16:creationId xmlns:a16="http://schemas.microsoft.com/office/drawing/2014/main" id="{3D8A1864-AFAE-FD37-33B0-256C83732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4"/>
  <sheetViews>
    <sheetView showGridLines="0" tabSelected="1" zoomScale="141" workbookViewId="0">
      <selection activeCell="A2" sqref="A2"/>
    </sheetView>
  </sheetViews>
  <sheetFormatPr baseColWidth="10" defaultColWidth="9.1640625" defaultRowHeight="14" x14ac:dyDescent="0.15"/>
  <cols>
    <col min="1" max="1" width="21.83203125" style="3" customWidth="1"/>
    <col min="2" max="9" width="13.6640625" style="3" customWidth="1"/>
    <col min="10" max="16" width="9.1640625" style="3"/>
    <col min="17" max="17" width="6" style="3" customWidth="1"/>
    <col min="18" max="18" width="8.1640625" style="3" customWidth="1"/>
    <col min="19" max="19" width="7.5" style="3" customWidth="1"/>
    <col min="20" max="16384" width="9.1640625" style="3"/>
  </cols>
  <sheetData>
    <row r="1" spans="1:4" ht="18" x14ac:dyDescent="0.2">
      <c r="A1" s="1" t="s">
        <v>12</v>
      </c>
    </row>
    <row r="2" spans="1:4" ht="15" thickBot="1" x14ac:dyDescent="0.2">
      <c r="A2" s="2"/>
    </row>
    <row r="3" spans="1:4" x14ac:dyDescent="0.15">
      <c r="A3" s="20" t="s">
        <v>13</v>
      </c>
      <c r="B3" s="21"/>
      <c r="C3" s="22"/>
    </row>
    <row r="4" spans="1:4" x14ac:dyDescent="0.15">
      <c r="A4" s="23" t="s">
        <v>14</v>
      </c>
      <c r="B4" s="24" t="s">
        <v>7</v>
      </c>
      <c r="C4" s="25">
        <v>45</v>
      </c>
    </row>
    <row r="5" spans="1:4" x14ac:dyDescent="0.15">
      <c r="A5" s="7" t="s">
        <v>15</v>
      </c>
      <c r="B5" s="3" t="s">
        <v>0</v>
      </c>
      <c r="C5" s="9">
        <v>100</v>
      </c>
    </row>
    <row r="6" spans="1:4" x14ac:dyDescent="0.15">
      <c r="A6" s="7" t="s">
        <v>16</v>
      </c>
      <c r="B6" s="3" t="s">
        <v>8</v>
      </c>
      <c r="C6" s="9">
        <v>30</v>
      </c>
    </row>
    <row r="7" spans="1:4" ht="15" thickBot="1" x14ac:dyDescent="0.2">
      <c r="A7" s="10" t="s">
        <v>17</v>
      </c>
      <c r="B7" s="11" t="s">
        <v>9</v>
      </c>
      <c r="C7" s="12">
        <v>0</v>
      </c>
    </row>
    <row r="9" spans="1:4" x14ac:dyDescent="0.15">
      <c r="A9" s="3" t="s">
        <v>18</v>
      </c>
      <c r="B9" s="3" t="s">
        <v>1</v>
      </c>
      <c r="C9" s="3">
        <f>C5-C4+C7</f>
        <v>55</v>
      </c>
    </row>
    <row r="10" spans="1:4" x14ac:dyDescent="0.15">
      <c r="A10" s="3" t="s">
        <v>19</v>
      </c>
      <c r="B10" s="3" t="s">
        <v>2</v>
      </c>
      <c r="C10" s="3">
        <f>C4-C6</f>
        <v>15</v>
      </c>
    </row>
    <row r="11" spans="1:4" x14ac:dyDescent="0.15">
      <c r="A11" s="3" t="s">
        <v>20</v>
      </c>
      <c r="B11" s="3" t="s">
        <v>4</v>
      </c>
      <c r="C11" s="13">
        <f>C9/(C9+C10)</f>
        <v>0.7857142857142857</v>
      </c>
      <c r="D11" s="13"/>
    </row>
    <row r="12" spans="1:4" x14ac:dyDescent="0.15">
      <c r="A12" s="3" t="s">
        <v>21</v>
      </c>
      <c r="B12" s="3" t="s">
        <v>22</v>
      </c>
      <c r="C12" s="26">
        <f>SUMPRODUCT(A19:A28,B19:B28)</f>
        <v>5.04</v>
      </c>
      <c r="D12" s="26"/>
    </row>
    <row r="13" spans="1:4" x14ac:dyDescent="0.15">
      <c r="D13" s="26"/>
    </row>
    <row r="14" spans="1:4" x14ac:dyDescent="0.15">
      <c r="A14" s="3" t="s">
        <v>23</v>
      </c>
      <c r="B14" s="3" t="s">
        <v>3</v>
      </c>
      <c r="C14" s="27">
        <v>0</v>
      </c>
      <c r="D14" s="26"/>
    </row>
    <row r="15" spans="1:4" x14ac:dyDescent="0.15">
      <c r="A15" s="3" t="s">
        <v>24</v>
      </c>
      <c r="B15" s="8" t="s">
        <v>6</v>
      </c>
      <c r="C15" s="28">
        <f>(C5-C4)*C12-C10*H29-C9*G29</f>
        <v>0</v>
      </c>
      <c r="D15" s="26"/>
    </row>
    <row r="16" spans="1:4" x14ac:dyDescent="0.15">
      <c r="A16" s="3" t="s">
        <v>25</v>
      </c>
      <c r="B16" s="3" t="s">
        <v>26</v>
      </c>
      <c r="C16" s="26">
        <f>C14-C12</f>
        <v>-5.04</v>
      </c>
      <c r="D16" s="26"/>
    </row>
    <row r="17" spans="1:11" ht="15" thickBot="1" x14ac:dyDescent="0.2">
      <c r="D17" s="26"/>
    </row>
    <row r="18" spans="1:11" ht="46" thickBot="1" x14ac:dyDescent="0.2">
      <c r="A18" s="39" t="s">
        <v>27</v>
      </c>
      <c r="B18" s="40" t="s">
        <v>28</v>
      </c>
      <c r="C18" s="41" t="s">
        <v>29</v>
      </c>
      <c r="D18" s="45" t="s">
        <v>40</v>
      </c>
      <c r="E18" s="44" t="s">
        <v>39</v>
      </c>
      <c r="F18" s="42" t="s">
        <v>30</v>
      </c>
      <c r="G18" s="42" t="s">
        <v>31</v>
      </c>
      <c r="H18" s="42" t="s">
        <v>32</v>
      </c>
      <c r="I18" s="42" t="s">
        <v>33</v>
      </c>
    </row>
    <row r="19" spans="1:11" x14ac:dyDescent="0.15">
      <c r="A19" s="35">
        <v>1</v>
      </c>
      <c r="B19" s="37">
        <v>0.04</v>
      </c>
      <c r="C19" s="33">
        <f>B19</f>
        <v>0.04</v>
      </c>
      <c r="D19" s="46">
        <v>1</v>
      </c>
      <c r="E19" s="29">
        <f>$C$9*(1-0)-$C$10*0</f>
        <v>55</v>
      </c>
      <c r="F19" s="21">
        <f t="shared" ref="F19:F28" si="0">MIN(A19,$C$14)</f>
        <v>0</v>
      </c>
      <c r="G19" s="3">
        <f t="shared" ref="G19:G28" si="1">MAX(0,A19-$C$14)</f>
        <v>1</v>
      </c>
      <c r="H19" s="3">
        <f t="shared" ref="H19:H28" si="2">MAX(0,$C$14-A19)</f>
        <v>0</v>
      </c>
      <c r="I19" s="17">
        <f>F19*($C$5-$C$4)+H19*($C$6-$C$4)-G19*$C$7</f>
        <v>0</v>
      </c>
    </row>
    <row r="20" spans="1:11" x14ac:dyDescent="0.15">
      <c r="A20" s="35">
        <v>2</v>
      </c>
      <c r="B20" s="37">
        <v>0.05</v>
      </c>
      <c r="C20" s="33">
        <f t="shared" ref="C20:C28" si="3">C19+B20</f>
        <v>0.09</v>
      </c>
      <c r="D20" s="46">
        <v>2</v>
      </c>
      <c r="E20" s="29">
        <f>$C$9*(1-C19)-$C$10*C19</f>
        <v>52.199999999999996</v>
      </c>
      <c r="F20" s="3">
        <f t="shared" si="0"/>
        <v>0</v>
      </c>
      <c r="G20" s="3">
        <f t="shared" si="1"/>
        <v>2</v>
      </c>
      <c r="H20" s="3">
        <f t="shared" si="2"/>
        <v>0</v>
      </c>
      <c r="I20" s="17">
        <f>F20*($C$5-$C$4)+H20*($C$6-$C$4)-G20*$C$7</f>
        <v>0</v>
      </c>
    </row>
    <row r="21" spans="1:11" x14ac:dyDescent="0.15">
      <c r="A21" s="35">
        <f t="shared" ref="A21:A28" si="4">A20+1</f>
        <v>3</v>
      </c>
      <c r="B21" s="37">
        <v>0.1</v>
      </c>
      <c r="C21" s="33">
        <f t="shared" si="3"/>
        <v>0.19</v>
      </c>
      <c r="D21" s="46">
        <v>3</v>
      </c>
      <c r="E21" s="29">
        <f t="shared" ref="E21:E28" si="5">$C$9*(1-C20)-$C$10*C20</f>
        <v>48.7</v>
      </c>
      <c r="F21" s="3">
        <f t="shared" si="0"/>
        <v>0</v>
      </c>
      <c r="G21" s="3">
        <f t="shared" si="1"/>
        <v>3</v>
      </c>
      <c r="H21" s="3">
        <f t="shared" si="2"/>
        <v>0</v>
      </c>
      <c r="I21" s="17">
        <f t="shared" ref="I21:I28" si="6">F21*($C$5-$C$4)+H21*($C$6-$C$4)-G21*$C$7</f>
        <v>0</v>
      </c>
    </row>
    <row r="22" spans="1:11" x14ac:dyDescent="0.15">
      <c r="A22" s="35">
        <f t="shared" si="4"/>
        <v>4</v>
      </c>
      <c r="B22" s="37">
        <v>0.19</v>
      </c>
      <c r="C22" s="33">
        <f t="shared" si="3"/>
        <v>0.38</v>
      </c>
      <c r="D22" s="46">
        <v>4</v>
      </c>
      <c r="E22" s="29">
        <f t="shared" si="5"/>
        <v>41.7</v>
      </c>
      <c r="F22" s="3">
        <f t="shared" si="0"/>
        <v>0</v>
      </c>
      <c r="G22" s="3">
        <f t="shared" si="1"/>
        <v>4</v>
      </c>
      <c r="H22" s="3">
        <f t="shared" si="2"/>
        <v>0</v>
      </c>
      <c r="I22" s="17">
        <f t="shared" si="6"/>
        <v>0</v>
      </c>
      <c r="K22" s="26"/>
    </row>
    <row r="23" spans="1:11" x14ac:dyDescent="0.15">
      <c r="A23" s="35">
        <f t="shared" si="4"/>
        <v>5</v>
      </c>
      <c r="B23" s="37">
        <v>0.25</v>
      </c>
      <c r="C23" s="33">
        <f t="shared" si="3"/>
        <v>0.63</v>
      </c>
      <c r="D23" s="46">
        <v>5</v>
      </c>
      <c r="E23" s="29">
        <f t="shared" si="5"/>
        <v>28.400000000000002</v>
      </c>
      <c r="F23" s="3">
        <f t="shared" si="0"/>
        <v>0</v>
      </c>
      <c r="G23" s="3">
        <f t="shared" si="1"/>
        <v>5</v>
      </c>
      <c r="H23" s="3">
        <f t="shared" si="2"/>
        <v>0</v>
      </c>
      <c r="I23" s="17">
        <f t="shared" si="6"/>
        <v>0</v>
      </c>
    </row>
    <row r="24" spans="1:11" x14ac:dyDescent="0.15">
      <c r="A24" s="35">
        <f t="shared" si="4"/>
        <v>6</v>
      </c>
      <c r="B24" s="37">
        <v>0.17</v>
      </c>
      <c r="C24" s="33">
        <f t="shared" si="3"/>
        <v>0.8</v>
      </c>
      <c r="D24" s="46">
        <v>6</v>
      </c>
      <c r="E24" s="29">
        <f t="shared" si="5"/>
        <v>10.900000000000002</v>
      </c>
      <c r="F24" s="3">
        <f t="shared" si="0"/>
        <v>0</v>
      </c>
      <c r="G24" s="3">
        <f t="shared" si="1"/>
        <v>6</v>
      </c>
      <c r="H24" s="3">
        <f t="shared" si="2"/>
        <v>0</v>
      </c>
      <c r="I24" s="17">
        <f t="shared" si="6"/>
        <v>0</v>
      </c>
    </row>
    <row r="25" spans="1:11" x14ac:dyDescent="0.15">
      <c r="A25" s="35">
        <f t="shared" si="4"/>
        <v>7</v>
      </c>
      <c r="B25" s="37">
        <v>0.1</v>
      </c>
      <c r="C25" s="33">
        <f t="shared" si="3"/>
        <v>0.9</v>
      </c>
      <c r="D25" s="47">
        <v>7</v>
      </c>
      <c r="E25" s="48">
        <f t="shared" si="5"/>
        <v>-1.0000000000000018</v>
      </c>
      <c r="F25" s="3">
        <f t="shared" si="0"/>
        <v>0</v>
      </c>
      <c r="G25" s="3">
        <f t="shared" si="1"/>
        <v>7</v>
      </c>
      <c r="H25" s="3">
        <f t="shared" si="2"/>
        <v>0</v>
      </c>
      <c r="I25" s="17">
        <f t="shared" si="6"/>
        <v>0</v>
      </c>
    </row>
    <row r="26" spans="1:11" x14ac:dyDescent="0.15">
      <c r="A26" s="35">
        <f t="shared" si="4"/>
        <v>8</v>
      </c>
      <c r="B26" s="37">
        <v>0.05</v>
      </c>
      <c r="C26" s="33">
        <f t="shared" si="3"/>
        <v>0.95000000000000007</v>
      </c>
      <c r="D26" s="47">
        <v>8</v>
      </c>
      <c r="E26" s="48">
        <f t="shared" si="5"/>
        <v>-8</v>
      </c>
      <c r="F26" s="3">
        <f t="shared" si="0"/>
        <v>0</v>
      </c>
      <c r="G26" s="3">
        <f t="shared" si="1"/>
        <v>8</v>
      </c>
      <c r="H26" s="3">
        <f t="shared" si="2"/>
        <v>0</v>
      </c>
      <c r="I26" s="17">
        <f t="shared" si="6"/>
        <v>0</v>
      </c>
      <c r="K26" s="26"/>
    </row>
    <row r="27" spans="1:11" x14ac:dyDescent="0.15">
      <c r="A27" s="35">
        <f t="shared" si="4"/>
        <v>9</v>
      </c>
      <c r="B27" s="37">
        <v>0.03</v>
      </c>
      <c r="C27" s="33">
        <f t="shared" si="3"/>
        <v>0.98000000000000009</v>
      </c>
      <c r="D27" s="47">
        <v>9</v>
      </c>
      <c r="E27" s="48">
        <f t="shared" si="5"/>
        <v>-11.500000000000005</v>
      </c>
      <c r="F27" s="3">
        <f t="shared" si="0"/>
        <v>0</v>
      </c>
      <c r="G27" s="3">
        <f t="shared" si="1"/>
        <v>9</v>
      </c>
      <c r="H27" s="3">
        <f t="shared" si="2"/>
        <v>0</v>
      </c>
      <c r="I27" s="17">
        <f t="shared" si="6"/>
        <v>0</v>
      </c>
    </row>
    <row r="28" spans="1:11" ht="15" thickBot="1" x14ac:dyDescent="0.2">
      <c r="A28" s="36">
        <f t="shared" si="4"/>
        <v>10</v>
      </c>
      <c r="B28" s="38">
        <v>0.02</v>
      </c>
      <c r="C28" s="34">
        <f t="shared" si="3"/>
        <v>1</v>
      </c>
      <c r="D28" s="49">
        <v>10</v>
      </c>
      <c r="E28" s="50">
        <f t="shared" si="5"/>
        <v>-13.600000000000007</v>
      </c>
      <c r="F28" s="11">
        <f t="shared" si="0"/>
        <v>0</v>
      </c>
      <c r="G28" s="11">
        <f t="shared" si="1"/>
        <v>10</v>
      </c>
      <c r="H28" s="11">
        <f t="shared" si="2"/>
        <v>0</v>
      </c>
      <c r="I28" s="43">
        <f t="shared" si="6"/>
        <v>0</v>
      </c>
      <c r="K28" s="26"/>
    </row>
    <row r="29" spans="1:11" x14ac:dyDescent="0.15">
      <c r="A29" s="30" t="s">
        <v>34</v>
      </c>
      <c r="B29" s="31"/>
      <c r="C29" s="31"/>
      <c r="D29" s="31"/>
      <c r="E29" s="32"/>
      <c r="F29" s="31">
        <f>SUMPRODUCT(F19:F28,B19:B28)</f>
        <v>0</v>
      </c>
      <c r="G29" s="31">
        <f>SUMPRODUCT(G19:G28,B19:B28)</f>
        <v>5.04</v>
      </c>
      <c r="H29" s="31">
        <f>SUMPRODUCT(H19:H28,B19:B28)</f>
        <v>0</v>
      </c>
      <c r="I29" s="31">
        <f>SUMPRODUCT(I19:I28,B19:B28)</f>
        <v>0</v>
      </c>
    </row>
    <row r="34" spans="2:2" x14ac:dyDescent="0.15">
      <c r="B34" s="8"/>
    </row>
  </sheetData>
  <phoneticPr fontId="0" type="noConversion"/>
  <pageMargins left="1.31" right="0.75" top="1" bottom="1" header="0.5" footer="0.5"/>
  <pageSetup paperSize="9" scale="9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62"/>
  <sheetViews>
    <sheetView showGridLines="0" zoomScaleNormal="100" workbookViewId="0">
      <selection activeCell="E14" sqref="E14"/>
    </sheetView>
  </sheetViews>
  <sheetFormatPr baseColWidth="10" defaultColWidth="9.1640625" defaultRowHeight="14" x14ac:dyDescent="0.15"/>
  <cols>
    <col min="1" max="1" width="21.83203125" style="3" customWidth="1"/>
    <col min="2" max="8" width="13.6640625" style="3" customWidth="1"/>
    <col min="9" max="16384" width="9.1640625" style="3"/>
  </cols>
  <sheetData>
    <row r="1" spans="1:8" ht="18" x14ac:dyDescent="0.2">
      <c r="A1" s="1" t="s">
        <v>12</v>
      </c>
    </row>
    <row r="2" spans="1:8" ht="15" thickBot="1" x14ac:dyDescent="0.2"/>
    <row r="3" spans="1:8" x14ac:dyDescent="0.15">
      <c r="A3" s="4" t="s">
        <v>5</v>
      </c>
      <c r="B3" s="5"/>
      <c r="C3" s="6"/>
    </row>
    <row r="4" spans="1:8" x14ac:dyDescent="0.15">
      <c r="A4" s="3" t="s">
        <v>21</v>
      </c>
      <c r="B4" s="8" t="s">
        <v>10</v>
      </c>
      <c r="C4" s="9">
        <v>1000</v>
      </c>
    </row>
    <row r="5" spans="1:8" x14ac:dyDescent="0.15">
      <c r="A5" s="3" t="s">
        <v>35</v>
      </c>
      <c r="B5" s="8" t="s">
        <v>8</v>
      </c>
      <c r="C5" s="9">
        <v>300</v>
      </c>
    </row>
    <row r="6" spans="1:8" x14ac:dyDescent="0.15">
      <c r="A6" s="7" t="s">
        <v>14</v>
      </c>
      <c r="B6" s="3" t="s">
        <v>7</v>
      </c>
      <c r="C6" s="9">
        <v>10</v>
      </c>
    </row>
    <row r="7" spans="1:8" x14ac:dyDescent="0.15">
      <c r="A7" s="7" t="s">
        <v>15</v>
      </c>
      <c r="B7" s="3" t="s">
        <v>0</v>
      </c>
      <c r="C7" s="9">
        <v>200</v>
      </c>
    </row>
    <row r="8" spans="1:8" x14ac:dyDescent="0.15">
      <c r="A8" s="7" t="s">
        <v>16</v>
      </c>
      <c r="B8" s="3" t="s">
        <v>8</v>
      </c>
      <c r="C8" s="9">
        <v>0</v>
      </c>
    </row>
    <row r="9" spans="1:8" ht="15" thickBot="1" x14ac:dyDescent="0.2">
      <c r="A9" s="10" t="s">
        <v>17</v>
      </c>
      <c r="B9" s="11" t="s">
        <v>9</v>
      </c>
      <c r="C9" s="12">
        <v>0</v>
      </c>
    </row>
    <row r="11" spans="1:8" x14ac:dyDescent="0.15">
      <c r="A11" s="2" t="s">
        <v>36</v>
      </c>
    </row>
    <row r="12" spans="1:8" x14ac:dyDescent="0.15">
      <c r="A12" s="3" t="s">
        <v>18</v>
      </c>
      <c r="B12" s="3" t="s">
        <v>1</v>
      </c>
      <c r="C12" s="3">
        <f>C7-C6+C9</f>
        <v>190</v>
      </c>
    </row>
    <row r="13" spans="1:8" x14ac:dyDescent="0.15">
      <c r="A13" s="3" t="s">
        <v>19</v>
      </c>
      <c r="B13" s="3" t="s">
        <v>2</v>
      </c>
      <c r="C13" s="3">
        <f>C6-C8</f>
        <v>10</v>
      </c>
    </row>
    <row r="14" spans="1:8" x14ac:dyDescent="0.15">
      <c r="A14" s="3" t="s">
        <v>20</v>
      </c>
      <c r="B14" s="3" t="s">
        <v>4</v>
      </c>
      <c r="C14" s="13">
        <f>C12/(C12+C13)</f>
        <v>0.95</v>
      </c>
    </row>
    <row r="15" spans="1:8" x14ac:dyDescent="0.15">
      <c r="C15" s="13"/>
      <c r="D15" s="14"/>
      <c r="E15" s="14"/>
      <c r="F15" s="15"/>
      <c r="G15" s="15"/>
      <c r="H15" s="15"/>
    </row>
    <row r="16" spans="1:8" x14ac:dyDescent="0.15">
      <c r="A16" s="2" t="s">
        <v>37</v>
      </c>
      <c r="D16" s="16"/>
      <c r="E16" s="16"/>
      <c r="G16" s="17"/>
      <c r="H16" s="17"/>
    </row>
    <row r="17" spans="1:8" x14ac:dyDescent="0.15">
      <c r="A17" s="3" t="s">
        <v>38</v>
      </c>
      <c r="B17" s="3" t="s">
        <v>11</v>
      </c>
      <c r="C17" s="13">
        <f>NORMSINV(C14)</f>
        <v>1.6448536269514715</v>
      </c>
      <c r="D17" s="16"/>
      <c r="E17" s="16"/>
      <c r="F17" s="17"/>
      <c r="G17" s="17"/>
      <c r="H17" s="17"/>
    </row>
    <row r="18" spans="1:8" x14ac:dyDescent="0.15">
      <c r="A18" s="3" t="s">
        <v>25</v>
      </c>
      <c r="B18" s="3" t="s">
        <v>26</v>
      </c>
      <c r="C18" s="18">
        <f>C17*C5</f>
        <v>493.45608808544148</v>
      </c>
      <c r="D18" s="16"/>
      <c r="E18" s="16"/>
      <c r="F18" s="17"/>
      <c r="G18" s="17"/>
      <c r="H18" s="17"/>
    </row>
    <row r="19" spans="1:8" x14ac:dyDescent="0.15">
      <c r="A19" s="3" t="s">
        <v>23</v>
      </c>
      <c r="B19" s="3" t="s">
        <v>3</v>
      </c>
      <c r="C19" s="19">
        <f>C4+C18</f>
        <v>1493.4560880854415</v>
      </c>
    </row>
    <row r="20" spans="1:8" x14ac:dyDescent="0.15">
      <c r="C20" s="13"/>
      <c r="D20" s="16"/>
      <c r="E20" s="16"/>
      <c r="F20" s="17"/>
      <c r="G20" s="17"/>
      <c r="H20" s="17"/>
    </row>
    <row r="21" spans="1:8" x14ac:dyDescent="0.15">
      <c r="C21" s="13"/>
      <c r="D21" s="16"/>
      <c r="E21" s="16"/>
      <c r="F21" s="17"/>
      <c r="G21" s="17"/>
      <c r="H21" s="17"/>
    </row>
    <row r="22" spans="1:8" x14ac:dyDescent="0.15">
      <c r="C22" s="13"/>
      <c r="D22" s="16"/>
      <c r="E22" s="16"/>
      <c r="F22" s="17"/>
      <c r="G22" s="17"/>
      <c r="H22" s="17"/>
    </row>
    <row r="23" spans="1:8" x14ac:dyDescent="0.15">
      <c r="C23" s="13"/>
      <c r="D23" s="16"/>
      <c r="E23" s="16"/>
      <c r="F23" s="17"/>
      <c r="G23" s="17"/>
      <c r="H23" s="17"/>
    </row>
    <row r="24" spans="1:8" x14ac:dyDescent="0.15">
      <c r="C24" s="13"/>
      <c r="D24" s="16"/>
      <c r="E24" s="16"/>
      <c r="F24" s="17"/>
      <c r="G24" s="17"/>
      <c r="H24" s="17"/>
    </row>
    <row r="25" spans="1:8" x14ac:dyDescent="0.15">
      <c r="C25" s="13"/>
      <c r="D25" s="16"/>
      <c r="E25" s="16"/>
      <c r="F25" s="17"/>
      <c r="G25" s="17"/>
      <c r="H25" s="17"/>
    </row>
    <row r="26" spans="1:8" x14ac:dyDescent="0.15">
      <c r="C26" s="13"/>
      <c r="D26" s="16"/>
      <c r="E26" s="16"/>
      <c r="F26" s="17"/>
      <c r="G26" s="17"/>
      <c r="H26" s="17"/>
    </row>
    <row r="27" spans="1:8" x14ac:dyDescent="0.15">
      <c r="C27" s="13"/>
      <c r="D27" s="16"/>
      <c r="E27" s="16"/>
      <c r="F27" s="17"/>
      <c r="G27" s="17"/>
      <c r="H27" s="17"/>
    </row>
    <row r="28" spans="1:8" x14ac:dyDescent="0.15">
      <c r="C28" s="13"/>
      <c r="D28" s="16"/>
      <c r="E28" s="16"/>
      <c r="F28" s="17"/>
      <c r="G28" s="17"/>
      <c r="H28" s="17"/>
    </row>
    <row r="29" spans="1:8" x14ac:dyDescent="0.15">
      <c r="C29" s="13"/>
      <c r="D29" s="16"/>
      <c r="E29" s="16"/>
      <c r="F29" s="17"/>
      <c r="G29" s="17"/>
      <c r="H29" s="17"/>
    </row>
    <row r="30" spans="1:8" x14ac:dyDescent="0.15">
      <c r="C30" s="13"/>
      <c r="D30" s="16"/>
      <c r="E30" s="16"/>
      <c r="F30" s="17"/>
      <c r="G30" s="17"/>
      <c r="H30" s="17"/>
    </row>
    <row r="31" spans="1:8" x14ac:dyDescent="0.15">
      <c r="C31" s="13"/>
      <c r="D31" s="16"/>
      <c r="E31" s="16"/>
      <c r="F31" s="17"/>
      <c r="G31" s="17"/>
      <c r="H31" s="17"/>
    </row>
    <row r="32" spans="1:8" x14ac:dyDescent="0.15">
      <c r="C32" s="13"/>
      <c r="D32" s="16"/>
      <c r="E32" s="16"/>
      <c r="F32" s="17"/>
      <c r="G32" s="17"/>
      <c r="H32" s="17"/>
    </row>
    <row r="33" spans="3:8" x14ac:dyDescent="0.15">
      <c r="C33" s="13"/>
      <c r="D33" s="16"/>
      <c r="E33" s="16"/>
      <c r="F33" s="17"/>
      <c r="G33" s="17"/>
      <c r="H33" s="17"/>
    </row>
    <row r="34" spans="3:8" x14ac:dyDescent="0.15">
      <c r="D34" s="16"/>
      <c r="E34" s="16"/>
      <c r="F34" s="17"/>
      <c r="G34" s="17"/>
      <c r="H34" s="17"/>
    </row>
    <row r="35" spans="3:8" x14ac:dyDescent="0.15">
      <c r="C35" s="13"/>
      <c r="D35" s="16"/>
      <c r="E35" s="16"/>
      <c r="F35" s="17"/>
      <c r="G35" s="17"/>
      <c r="H35" s="17"/>
    </row>
    <row r="36" spans="3:8" x14ac:dyDescent="0.15">
      <c r="C36" s="13"/>
      <c r="D36" s="16"/>
      <c r="E36" s="16"/>
      <c r="F36" s="17"/>
      <c r="G36" s="17"/>
      <c r="H36" s="17"/>
    </row>
    <row r="37" spans="3:8" x14ac:dyDescent="0.15">
      <c r="C37" s="13"/>
    </row>
    <row r="38" spans="3:8" x14ac:dyDescent="0.15">
      <c r="C38" s="13"/>
      <c r="D38" s="16"/>
      <c r="E38" s="16"/>
      <c r="F38" s="17"/>
      <c r="G38" s="17"/>
      <c r="H38" s="17"/>
    </row>
    <row r="39" spans="3:8" x14ac:dyDescent="0.15">
      <c r="C39" s="13"/>
      <c r="D39" s="16"/>
      <c r="E39" s="16"/>
      <c r="F39" s="17"/>
      <c r="G39" s="17"/>
      <c r="H39" s="17"/>
    </row>
    <row r="40" spans="3:8" x14ac:dyDescent="0.15">
      <c r="C40" s="13"/>
      <c r="D40" s="16"/>
      <c r="E40" s="16"/>
      <c r="F40" s="17"/>
      <c r="G40" s="17"/>
      <c r="H40" s="17"/>
    </row>
    <row r="41" spans="3:8" x14ac:dyDescent="0.15">
      <c r="C41" s="13"/>
      <c r="D41" s="16"/>
      <c r="E41" s="16"/>
      <c r="F41" s="17"/>
      <c r="G41" s="17"/>
      <c r="H41" s="17"/>
    </row>
    <row r="42" spans="3:8" x14ac:dyDescent="0.15">
      <c r="C42" s="13"/>
      <c r="D42" s="16"/>
      <c r="E42" s="16"/>
      <c r="F42" s="17"/>
      <c r="G42" s="17"/>
      <c r="H42" s="17"/>
    </row>
    <row r="43" spans="3:8" x14ac:dyDescent="0.15">
      <c r="D43" s="16"/>
      <c r="E43" s="16"/>
      <c r="F43" s="17"/>
      <c r="G43" s="17"/>
      <c r="H43" s="17"/>
    </row>
    <row r="44" spans="3:8" x14ac:dyDescent="0.15">
      <c r="C44" s="13"/>
      <c r="D44" s="16"/>
      <c r="E44" s="16"/>
      <c r="F44" s="17"/>
      <c r="G44" s="17"/>
      <c r="H44" s="17"/>
    </row>
    <row r="45" spans="3:8" x14ac:dyDescent="0.15">
      <c r="C45" s="13"/>
      <c r="D45" s="16"/>
      <c r="E45" s="16"/>
      <c r="F45" s="17"/>
      <c r="G45" s="17"/>
      <c r="H45" s="17"/>
    </row>
    <row r="46" spans="3:8" x14ac:dyDescent="0.15">
      <c r="C46" s="13"/>
    </row>
    <row r="47" spans="3:8" x14ac:dyDescent="0.15">
      <c r="C47" s="13"/>
      <c r="D47" s="16"/>
      <c r="E47" s="16"/>
      <c r="F47" s="17"/>
      <c r="G47" s="17"/>
      <c r="H47" s="17"/>
    </row>
    <row r="48" spans="3:8" x14ac:dyDescent="0.15">
      <c r="C48" s="13"/>
      <c r="D48" s="16"/>
      <c r="E48" s="16"/>
      <c r="F48" s="17"/>
      <c r="G48" s="17"/>
      <c r="H48" s="17"/>
    </row>
    <row r="49" spans="3:8" x14ac:dyDescent="0.15">
      <c r="C49" s="13"/>
      <c r="D49" s="16"/>
      <c r="E49" s="16"/>
      <c r="F49" s="17"/>
      <c r="G49" s="17"/>
      <c r="H49" s="17"/>
    </row>
    <row r="50" spans="3:8" x14ac:dyDescent="0.15">
      <c r="C50" s="13"/>
      <c r="D50" s="16"/>
      <c r="E50" s="16"/>
      <c r="F50" s="17"/>
      <c r="G50" s="17"/>
      <c r="H50" s="17"/>
    </row>
    <row r="51" spans="3:8" x14ac:dyDescent="0.15">
      <c r="C51" s="13"/>
      <c r="D51" s="16"/>
      <c r="E51" s="16"/>
      <c r="F51" s="17"/>
      <c r="G51" s="17"/>
      <c r="H51" s="17"/>
    </row>
    <row r="52" spans="3:8" x14ac:dyDescent="0.15">
      <c r="C52" s="13"/>
      <c r="D52" s="16"/>
      <c r="E52" s="16"/>
      <c r="F52" s="17"/>
      <c r="G52" s="17"/>
      <c r="H52" s="17"/>
    </row>
    <row r="53" spans="3:8" x14ac:dyDescent="0.15">
      <c r="C53" s="13"/>
      <c r="D53" s="16"/>
      <c r="E53" s="16"/>
      <c r="F53" s="17"/>
      <c r="G53" s="17"/>
      <c r="H53" s="17"/>
    </row>
    <row r="54" spans="3:8" x14ac:dyDescent="0.15">
      <c r="C54" s="13"/>
      <c r="D54" s="16"/>
      <c r="E54" s="16"/>
      <c r="F54" s="17"/>
      <c r="G54" s="17"/>
      <c r="H54" s="17"/>
    </row>
    <row r="55" spans="3:8" x14ac:dyDescent="0.15">
      <c r="C55" s="13"/>
      <c r="D55" s="16"/>
      <c r="E55" s="16"/>
      <c r="F55" s="17"/>
      <c r="G55" s="17"/>
      <c r="H55" s="17"/>
    </row>
    <row r="56" spans="3:8" x14ac:dyDescent="0.15">
      <c r="C56" s="13"/>
      <c r="D56" s="16"/>
      <c r="E56" s="16"/>
      <c r="F56" s="17"/>
      <c r="G56" s="17"/>
      <c r="H56" s="17"/>
    </row>
    <row r="57" spans="3:8" x14ac:dyDescent="0.15">
      <c r="C57" s="13"/>
      <c r="D57" s="16"/>
      <c r="E57" s="16"/>
      <c r="F57" s="17"/>
      <c r="G57" s="17"/>
      <c r="H57" s="17"/>
    </row>
    <row r="58" spans="3:8" x14ac:dyDescent="0.15">
      <c r="C58" s="13"/>
      <c r="D58" s="16"/>
      <c r="E58" s="16"/>
      <c r="F58" s="17"/>
      <c r="G58" s="17"/>
      <c r="H58" s="17"/>
    </row>
    <row r="59" spans="3:8" x14ac:dyDescent="0.15">
      <c r="C59" s="13"/>
      <c r="D59" s="16"/>
      <c r="E59" s="16"/>
      <c r="F59" s="17"/>
      <c r="G59" s="17"/>
      <c r="H59" s="17"/>
    </row>
    <row r="60" spans="3:8" x14ac:dyDescent="0.15">
      <c r="D60" s="16"/>
      <c r="E60" s="16"/>
      <c r="F60" s="17"/>
      <c r="G60" s="17"/>
      <c r="H60" s="17"/>
    </row>
    <row r="61" spans="3:8" x14ac:dyDescent="0.15">
      <c r="D61" s="16"/>
      <c r="E61" s="16"/>
      <c r="F61" s="17"/>
      <c r="G61" s="17"/>
      <c r="H61" s="17"/>
    </row>
    <row r="62" spans="3:8" x14ac:dyDescent="0.15">
      <c r="D62" s="16"/>
      <c r="E62" s="16"/>
      <c r="F62" s="17"/>
      <c r="G62" s="17"/>
      <c r="H6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Diskrete Nachfrageverteilung</vt:lpstr>
      <vt:lpstr>Normalverteile Nachfrage</vt:lpstr>
    </vt:vector>
  </TitlesOfParts>
  <Company>Dartmouth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Moritz.Fleischmann</dc:creator>
  <cp:lastModifiedBy>Tobias Breitenbach</cp:lastModifiedBy>
  <cp:lastPrinted>2004-11-10T07:47:45Z</cp:lastPrinted>
  <dcterms:created xsi:type="dcterms:W3CDTF">2003-03-20T17:40:53Z</dcterms:created>
  <dcterms:modified xsi:type="dcterms:W3CDTF">2025-10-27T14:42:57Z</dcterms:modified>
</cp:coreProperties>
</file>